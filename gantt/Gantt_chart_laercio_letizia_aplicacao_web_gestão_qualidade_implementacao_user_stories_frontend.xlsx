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C:\Users\user\Documents\ULHT\Engenharia Informática\3 Ano\TFC\"/>
    </mc:Choice>
  </mc:AlternateContent>
  <xr:revisionPtr revIDLastSave="0" documentId="13_ncr:1_{9238D41F-DE26-4916-8D93-E8FDE042555A}" xr6:coauthVersionLast="47" xr6:coauthVersionMax="47" xr10:uidLastSave="{00000000-0000-0000-0000-000000000000}"/>
  <bookViews>
    <workbookView xWindow="-108" yWindow="-108" windowWidth="23256" windowHeight="12456" xr2:uid="{00000000-000D-0000-FFFF-FFFF00000000}"/>
  </bookViews>
  <sheets>
    <sheet name="Project schedule" sheetId="11" r:id="rId1"/>
    <sheet name="About" sheetId="12" r:id="rId2"/>
  </sheets>
  <definedNames>
    <definedName name="_xlnm.Print_Area" localSheetId="0">'Project schedule'!$B$1:$BL$58</definedName>
    <definedName name="Display_Week">'Project schedule'!$Q$2</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_xlnm.Print_Titles" localSheetId="0">'Project schedule'!$4:$6</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4" i="11" l="1"/>
  <c r="AK1" i="11"/>
  <c r="Q1" i="11"/>
  <c r="F23" i="11"/>
  <c r="F22" i="11"/>
  <c r="F21" i="11"/>
  <c r="E23" i="11"/>
  <c r="E22" i="11"/>
  <c r="E21" i="11"/>
  <c r="F20" i="11"/>
  <c r="E20" i="11"/>
  <c r="F17" i="11"/>
  <c r="E17" i="11"/>
  <c r="E14" i="11"/>
  <c r="H40" i="11"/>
  <c r="E9" i="11"/>
  <c r="F9" i="11" s="1"/>
  <c r="E10" i="11" l="1"/>
  <c r="F10" i="11" s="1"/>
  <c r="E11" i="11" s="1"/>
  <c r="E16" i="11" s="1"/>
  <c r="F16" i="11" s="1"/>
  <c r="E18" i="11" s="1"/>
  <c r="F18" i="11" s="1"/>
  <c r="H7" i="11"/>
  <c r="I5" i="11" l="1"/>
  <c r="H58" i="11"/>
  <c r="H57" i="11"/>
  <c r="H53" i="11"/>
  <c r="H33" i="11"/>
  <c r="H13" i="11"/>
  <c r="H8" i="11"/>
  <c r="H34" i="11" l="1"/>
  <c r="H9" i="11"/>
  <c r="I6" i="11"/>
  <c r="E12" i="11" l="1"/>
  <c r="F12" i="11" s="1"/>
  <c r="F11" i="11" s="1"/>
  <c r="H55" i="11"/>
  <c r="H54" i="11"/>
  <c r="H52" i="11"/>
  <c r="H10" i="11"/>
  <c r="H41" i="11"/>
  <c r="J5" i="11"/>
  <c r="K5" i="11" s="1"/>
  <c r="L5" i="11" s="1"/>
  <c r="M5" i="11" s="1"/>
  <c r="N5" i="11" s="1"/>
  <c r="O5" i="11" s="1"/>
  <c r="P5" i="11" s="1"/>
  <c r="P4" i="11" s="1"/>
  <c r="I4" i="11"/>
  <c r="H12" i="11" l="1"/>
  <c r="H14" i="11"/>
  <c r="E15" i="11"/>
  <c r="F15" i="11" s="1"/>
  <c r="H51" i="11"/>
  <c r="H11" i="11"/>
  <c r="Q5" i="11"/>
  <c r="R5" i="11" s="1"/>
  <c r="S5" i="11" s="1"/>
  <c r="T5" i="11" s="1"/>
  <c r="U5" i="11" s="1"/>
  <c r="V5" i="11" s="1"/>
  <c r="W5" i="11" s="1"/>
  <c r="J6" i="11"/>
  <c r="H15" i="11" l="1"/>
  <c r="H19" i="11"/>
  <c r="H18" i="11"/>
  <c r="H16"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<sst xmlns="http://schemas.openxmlformats.org/spreadsheetml/2006/main" count="113" uniqueCount="70">
  <si>
    <t>Project start:</t>
  </si>
  <si>
    <t>Display week:</t>
  </si>
  <si>
    <t>TASK</t>
  </si>
  <si>
    <t>ASSIGNED TO</t>
  </si>
  <si>
    <t>PROGRESS</t>
  </si>
  <si>
    <t>START</t>
  </si>
  <si>
    <t>END</t>
  </si>
  <si>
    <t xml:space="preserve">Do not delete this row. This row is hidden to preserve a formula that is used to highlight the current day within the project schedule. </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</si>
  <si>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</si>
  <si>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</si>
  <si>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</si>
  <si>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</si>
  <si>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</si>
  <si>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</si>
  <si>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</si>
  <si>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</si>
  <si>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</si>
  <si>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</si>
  <si>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</si>
  <si>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</si>
  <si>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</si>
  <si>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</si>
  <si>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</si>
  <si>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Gantt Chart - Aplicação web para gestão da qualidade de implementação de user stories (frontend)</t>
  </si>
  <si>
    <t>Onboarding</t>
  </si>
  <si>
    <t>Laércio &amp; Letizia</t>
  </si>
  <si>
    <t>Definir ferramentas</t>
  </si>
  <si>
    <t>Frontend</t>
  </si>
  <si>
    <t>Requisitos</t>
  </si>
  <si>
    <t>Trello</t>
  </si>
  <si>
    <t>Estudo geral</t>
  </si>
  <si>
    <t>Mapa aplicacional</t>
  </si>
  <si>
    <t>Parking lot ideas (Trello)</t>
  </si>
  <si>
    <t>Equipa backend</t>
  </si>
  <si>
    <t>Mocks de backend</t>
  </si>
  <si>
    <t>All envolved</t>
  </si>
  <si>
    <t>History</t>
  </si>
  <si>
    <t>Home page</t>
  </si>
  <si>
    <t>Input page</t>
  </si>
  <si>
    <t>Integração backend</t>
  </si>
  <si>
    <t>Testes e feedbacks</t>
  </si>
  <si>
    <t>MVP (Funcional)</t>
  </si>
  <si>
    <t>User story (details)</t>
  </si>
  <si>
    <t>User story (AI report)</t>
  </si>
  <si>
    <t>XP system (relate story points)</t>
  </si>
  <si>
    <t>Profile pop-up: (Achievements)</t>
  </si>
  <si>
    <t>Enhancements - Login</t>
  </si>
  <si>
    <t>Home page - (login)</t>
  </si>
  <si>
    <t>User stories page - (simple listing all)</t>
  </si>
  <si>
    <t>Estudar git - funcionamento</t>
  </si>
  <si>
    <t>Enhancements - (UX)</t>
  </si>
  <si>
    <t>Enhancements - Input page (via github)</t>
  </si>
  <si>
    <t>Implementação</t>
  </si>
  <si>
    <t>Enhancements - input (AI report)</t>
  </si>
  <si>
    <t>Profile pop-up (simple without activity and achievements)</t>
  </si>
  <si>
    <t>Profile pop-up - Achievement tags</t>
  </si>
  <si>
    <t>User story (details page)</t>
  </si>
  <si>
    <t>Enhancements - Activity</t>
  </si>
  <si>
    <t>Enhancements - Gamificação</t>
  </si>
  <si>
    <t>Profile pop-up: (Activity chart)</t>
  </si>
  <si>
    <t>Activity - métricas individuais</t>
  </si>
  <si>
    <t>Definir armazenamento credenciais</t>
  </si>
  <si>
    <t>Enhancements - Conjunto de resoluções estáticas</t>
  </si>
  <si>
    <t>Pesquisar resoluções adequadas</t>
  </si>
  <si>
    <t>Refazer layout: resolução "?x?"</t>
  </si>
  <si>
    <t>Enhancements - Friends page (social) "(dependente do tempo e progresso)"</t>
  </si>
  <si>
    <t>Planeamento protótipo</t>
  </si>
  <si>
    <t>Criação protótipo &amp; feedback</t>
  </si>
  <si>
    <t>|</t>
  </si>
  <si>
    <t>(Be sure)                        Project 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</si>
</sst>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_(* \(#,##0.00\);_(* &quot;-&quot;??_);_(@_)"/>
    <numFmt numFmtId="165" formatCode="m/d/yy;@"/>
    <numFmt numFmtId="166" formatCode="ddd\,\ m/d/yyyy"/>
    <numFmt numFmtId="167" formatCode="mmm\ d\,\ yyyy"/>
    <numFmt numFmtId="168" formatCode="d"/>
    <numFmt numFmtId="169" formatCode="yyyy\-mm\-d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6"/>
      <color theme="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b/>
      <sz val="18"/>
      <color theme="9"/>
      <name val="Arial Black"/>
      <family val="2"/>
      <scheme val="major"/>
    </font>
    <font>
      <sz val="10"/>
      <color rgb="FF000000"/>
      <name val="Arial"/>
      <family val="2"/>
      <scheme val="minor"/>
    </font>
    <font>
      <b/>
      <sz val="10"/>
      <color theme="1"/>
      <name val="Arial Black"/>
      <family val="2"/>
      <scheme val="major"/>
    </font>
    <font>
      <sz val="10"/>
      <color theme="1"/>
      <name val="Arial Black"/>
      <family val="2"/>
      <scheme val="major"/>
    </font>
    <font>
      <sz val="22"/>
      <color theme="1"/>
      <name val="Arial"/>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7"/>
        <bgColor indexed="64"/>
      </patternFill>
    </fill>
    <fill>
      <patternFill patternType="solid">
        <fgColor rgb="FF6DBFC5"/>
        <bgColor indexed="64"/>
      </patternFill>
    </fill>
    <fill>
      <patternFill patternType="solid">
        <fgColor rgb="FFE4F3EB"/>
        <bgColor rgb="FF000000"/>
      </patternFill>
    </fill>
  </fills>
  <borders count="23">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
      <left/>
      <right/>
      <top style="thin">
        <color rgb="FFCAEAD7"/>
      </top>
      <bottom style="thin">
        <color rgb="FFCAEAD7"/>
      </bottom>
      <diagonal/>
    </border>
    <border>
      <left style="thin">
        <color theme="0" tint="-4.9989318521683403E-2"/>
      </left>
      <right style="thin">
        <color theme="0" tint="-4.9989318521683403E-2"/>
      </right>
      <top/>
      <bottom style="thin">
        <color theme="0" tint="-4.9989318521683403E-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164"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6" fontId="4" fillId="0" borderId="2">
      <alignment horizontal="center" vertical="center"/>
    </xf>
    <xf numFmtId="165"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3">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4" fillId="0" borderId="0" xfId="0" applyFont="1"/>
    <xf numFmtId="0" fontId="4" fillId="0" borderId="0" xfId="0" applyFont="1"/>
    <xf numFmtId="0" fontId="1" fillId="0" borderId="0" xfId="1" applyFont="1" applyAlignment="1" applyProtection="1">
      <alignment horizontal="left" vertical="top" indent="1"/>
    </xf>
    <xf numFmtId="0" fontId="4" fillId="0" borderId="0" xfId="0" applyFont="1" applyAlignment="1">
      <alignment horizontal="left" indent="1"/>
    </xf>
    <xf numFmtId="168" fontId="17" fillId="10" borderId="19" xfId="0" applyNumberFormat="1" applyFont="1" applyFill="1" applyBorder="1" applyAlignment="1">
      <alignment horizontal="center" vertical="center"/>
    </xf>
    <xf numFmtId="168" fontId="17" fillId="10" borderId="17" xfId="0" applyNumberFormat="1" applyFont="1" applyFill="1" applyBorder="1" applyAlignment="1">
      <alignment horizontal="center" vertical="center"/>
    </xf>
    <xf numFmtId="168" fontId="17" fillId="10" borderId="18" xfId="0" applyNumberFormat="1" applyFont="1" applyFill="1" applyBorder="1" applyAlignment="1">
      <alignment horizontal="center" vertical="center"/>
    </xf>
    <xf numFmtId="0" fontId="18" fillId="2" borderId="16" xfId="0" applyFont="1" applyFill="1" applyBorder="1" applyAlignment="1">
      <alignment horizontal="center" vertical="center" shrinkToFit="1"/>
    </xf>
    <xf numFmtId="0" fontId="18" fillId="2" borderId="13" xfId="0" applyFont="1" applyFill="1" applyBorder="1" applyAlignment="1">
      <alignment horizontal="center" vertical="center" shrinkToFit="1"/>
    </xf>
    <xf numFmtId="0" fontId="18" fillId="2" borderId="14" xfId="0" applyFont="1" applyFill="1" applyBorder="1" applyAlignment="1">
      <alignment horizontal="center" vertical="center" shrinkToFit="1"/>
    </xf>
    <xf numFmtId="0" fontId="15" fillId="0" borderId="0" xfId="0" applyFont="1"/>
    <xf numFmtId="0" fontId="15" fillId="0" borderId="0" xfId="0" applyFont="1" applyAlignment="1">
      <alignment wrapText="1"/>
    </xf>
    <xf numFmtId="0" fontId="4" fillId="0" borderId="3" xfId="0" applyFont="1" applyBorder="1" applyAlignment="1">
      <alignment vertical="center"/>
    </xf>
    <xf numFmtId="0" fontId="19" fillId="6" borderId="0" xfId="0" applyFont="1" applyFill="1" applyAlignment="1">
      <alignment horizontal="left" vertical="center" indent="1"/>
    </xf>
    <xf numFmtId="0" fontId="15" fillId="6" borderId="0" xfId="11" applyFont="1" applyFill="1" applyBorder="1" applyAlignment="1">
      <alignment vertical="center"/>
    </xf>
    <xf numFmtId="9" fontId="1" fillId="6" borderId="0" xfId="2" applyFont="1" applyFill="1" applyBorder="1" applyAlignment="1">
      <alignment horizontal="center" vertical="center"/>
    </xf>
    <xf numFmtId="165" fontId="15" fillId="6" borderId="0" xfId="0" applyNumberFormat="1" applyFont="1" applyFill="1" applyAlignment="1">
      <alignment horizontal="center" vertical="center"/>
    </xf>
    <xf numFmtId="165" fontId="1" fillId="6" borderId="0" xfId="0" applyNumberFormat="1" applyFont="1" applyFill="1" applyAlignment="1">
      <alignment horizontal="center" vertical="center"/>
    </xf>
    <xf numFmtId="0" fontId="4" fillId="0" borderId="11" xfId="0" applyFont="1" applyBorder="1" applyAlignment="1">
      <alignment vertical="center"/>
    </xf>
    <xf numFmtId="0" fontId="4" fillId="0" borderId="0" xfId="0" applyFont="1" applyAlignment="1">
      <alignment vertical="center"/>
    </xf>
    <xf numFmtId="0" fontId="15" fillId="3" borderId="6" xfId="12" applyFont="1" applyFill="1" applyBorder="1">
      <alignment horizontal="left" vertical="center" indent="2"/>
    </xf>
    <xf numFmtId="0" fontId="15" fillId="3" borderId="6" xfId="11" applyFont="1" applyFill="1" applyBorder="1" applyAlignment="1">
      <alignment vertical="center"/>
    </xf>
    <xf numFmtId="9" fontId="1" fillId="3" borderId="6" xfId="2" applyFont="1" applyFill="1" applyBorder="1" applyAlignment="1">
      <alignment horizontal="center" vertical="center"/>
    </xf>
    <xf numFmtId="0" fontId="4" fillId="0" borderId="4" xfId="0" applyFont="1" applyBorder="1" applyAlignment="1">
      <alignment vertical="center"/>
    </xf>
    <xf numFmtId="0" fontId="15" fillId="3" borderId="7" xfId="12" applyFont="1" applyFill="1" applyBorder="1">
      <alignment horizontal="left" vertical="center" indent="2"/>
    </xf>
    <xf numFmtId="9" fontId="1" fillId="3" borderId="7" xfId="2" applyFont="1" applyFill="1" applyBorder="1" applyAlignment="1">
      <alignment horizontal="center" vertical="center"/>
    </xf>
    <xf numFmtId="0" fontId="4" fillId="0" borderId="4" xfId="0" applyFont="1" applyBorder="1" applyAlignment="1">
      <alignment horizontal="right" vertical="center"/>
    </xf>
    <xf numFmtId="0" fontId="19" fillId="7" borderId="0" xfId="0" applyFont="1" applyFill="1" applyAlignment="1">
      <alignment horizontal="left" vertical="center" indent="1"/>
    </xf>
    <xf numFmtId="0" fontId="15" fillId="7" borderId="0" xfId="11" applyFont="1" applyFill="1" applyBorder="1" applyAlignment="1">
      <alignment vertical="center"/>
    </xf>
    <xf numFmtId="9" fontId="1" fillId="7" borderId="0" xfId="2" applyFont="1" applyFill="1" applyBorder="1" applyAlignment="1">
      <alignment horizontal="center" vertical="center"/>
    </xf>
    <xf numFmtId="0" fontId="15" fillId="4" borderId="5" xfId="12" applyFont="1" applyFill="1" applyBorder="1">
      <alignment horizontal="left" vertical="center" indent="2"/>
    </xf>
    <xf numFmtId="0" fontId="15" fillId="4" borderId="5" xfId="11" applyFont="1" applyFill="1" applyBorder="1" applyAlignment="1">
      <alignment vertical="center"/>
    </xf>
    <xf numFmtId="9" fontId="1" fillId="4" borderId="5" xfId="2" applyFont="1" applyFill="1" applyBorder="1" applyAlignment="1">
      <alignment horizontal="center" vertical="center"/>
    </xf>
    <xf numFmtId="0" fontId="19" fillId="8" borderId="0" xfId="0" applyFont="1" applyFill="1" applyAlignment="1">
      <alignment horizontal="left" vertical="center" indent="1"/>
    </xf>
    <xf numFmtId="0" fontId="15" fillId="8" borderId="0" xfId="11" applyFont="1" applyFill="1" applyBorder="1" applyAlignment="1">
      <alignment vertical="center"/>
    </xf>
    <xf numFmtId="9" fontId="1" fillId="8" borderId="0" xfId="2" applyFont="1" applyFill="1" applyBorder="1" applyAlignment="1">
      <alignment horizontal="center" vertical="center"/>
    </xf>
    <xf numFmtId="0" fontId="4" fillId="0" borderId="10" xfId="0" applyFont="1" applyBorder="1" applyAlignment="1">
      <alignment vertical="center"/>
    </xf>
    <xf numFmtId="0" fontId="15" fillId="5" borderId="8" xfId="12" applyFont="1" applyFill="1" applyBorder="1">
      <alignment horizontal="left" vertical="center" indent="2"/>
    </xf>
    <xf numFmtId="0" fontId="15" fillId="5" borderId="8" xfId="11" applyFont="1" applyFill="1" applyBorder="1" applyAlignment="1">
      <alignment vertical="center"/>
    </xf>
    <xf numFmtId="9" fontId="1" fillId="5" borderId="8" xfId="2" applyFont="1" applyFill="1" applyBorder="1" applyAlignment="1">
      <alignment horizontal="center" vertical="center"/>
    </xf>
    <xf numFmtId="0" fontId="4" fillId="0" borderId="9" xfId="0" applyFont="1" applyBorder="1" applyAlignment="1">
      <alignment vertical="center"/>
    </xf>
    <xf numFmtId="0" fontId="15" fillId="0" borderId="0" xfId="12" applyFont="1" applyBorder="1">
      <alignment horizontal="left" vertical="center" indent="2"/>
    </xf>
    <xf numFmtId="0" fontId="15" fillId="0" borderId="0" xfId="11" applyFont="1" applyBorder="1" applyAlignment="1">
      <alignment vertical="center"/>
    </xf>
    <xf numFmtId="9" fontId="1" fillId="0" borderId="0" xfId="2" applyFont="1" applyBorder="1" applyAlignment="1">
      <alignment horizontal="center" vertical="center"/>
    </xf>
    <xf numFmtId="165" fontId="15" fillId="0" borderId="0" xfId="10" applyFont="1" applyBorder="1">
      <alignment horizontal="center" vertical="center"/>
    </xf>
    <xf numFmtId="0" fontId="20" fillId="2" borderId="0" xfId="0" applyFont="1" applyFill="1" applyAlignment="1">
      <alignment horizontal="left" vertical="center" indent="1"/>
    </xf>
    <xf numFmtId="0" fontId="20" fillId="2" borderId="0" xfId="0" applyFont="1" applyFill="1" applyAlignment="1">
      <alignment vertical="center"/>
    </xf>
    <xf numFmtId="9" fontId="1" fillId="2" borderId="0" xfId="2" applyFont="1" applyFill="1" applyBorder="1" applyAlignment="1">
      <alignment horizontal="center" vertical="center"/>
    </xf>
    <xf numFmtId="165" fontId="21" fillId="2" borderId="0" xfId="0" applyNumberFormat="1" applyFont="1" applyFill="1" applyAlignment="1">
      <alignment horizontal="left" vertical="center"/>
    </xf>
    <xf numFmtId="165" fontId="1" fillId="2" borderId="0" xfId="0" applyNumberFormat="1" applyFont="1" applyFill="1" applyAlignment="1">
      <alignment horizontal="center" vertical="center"/>
    </xf>
    <xf numFmtId="0" fontId="4" fillId="2" borderId="0" xfId="0" applyFont="1" applyFill="1" applyAlignment="1">
      <alignment vertical="center"/>
    </xf>
    <xf numFmtId="0" fontId="9" fillId="0" borderId="0" xfId="0" applyFont="1" applyAlignment="1">
      <alignment horizontal="left" vertical="center" indent="1"/>
    </xf>
    <xf numFmtId="0" fontId="3" fillId="0" borderId="0" xfId="0" applyFont="1" applyAlignment="1">
      <alignment horizontal="left" vertical="top" indent="1"/>
    </xf>
    <xf numFmtId="0" fontId="22" fillId="0" borderId="0" xfId="0" applyFont="1" applyAlignment="1">
      <alignment horizontal="left" vertical="center" indent="1"/>
    </xf>
    <xf numFmtId="0" fontId="26" fillId="0" borderId="0" xfId="0" applyFont="1" applyAlignment="1">
      <alignment horizontal="left" vertical="top" wrapText="1" indent="1"/>
    </xf>
    <xf numFmtId="0" fontId="0" fillId="0" borderId="0" xfId="0" applyAlignment="1">
      <alignment horizontal="left" vertical="top" wrapText="1" indent="1"/>
    </xf>
    <xf numFmtId="0" fontId="27" fillId="0" borderId="0" xfId="1" applyFont="1" applyAlignment="1" applyProtection="1">
      <alignment horizontal="left" vertical="top" indent="1"/>
    </xf>
    <xf numFmtId="0" fontId="1" fillId="0" borderId="0" xfId="0" applyFont="1" applyAlignment="1">
      <alignment horizontal="left" vertical="top" indent="1"/>
    </xf>
    <xf numFmtId="167" fontId="15" fillId="2" borderId="12" xfId="0" applyNumberFormat="1" applyFont="1" applyFill="1" applyBorder="1" applyAlignment="1">
      <alignment horizontal="center" vertical="center" wrapText="1"/>
    </xf>
    <xf numFmtId="167" fontId="15" fillId="2" borderId="18" xfId="0" applyNumberFormat="1" applyFont="1" applyFill="1" applyBorder="1" applyAlignment="1">
      <alignment horizontal="center" vertical="center" wrapText="1"/>
    </xf>
    <xf numFmtId="167" fontId="15" fillId="2" borderId="17" xfId="0" applyNumberFormat="1" applyFont="1" applyFill="1" applyBorder="1" applyAlignment="1">
      <alignment horizontal="center" vertical="center" wrapText="1"/>
    </xf>
    <xf numFmtId="0" fontId="16" fillId="9" borderId="15" xfId="0" applyFont="1" applyFill="1" applyBorder="1" applyAlignment="1">
      <alignment horizontal="center" vertical="center"/>
    </xf>
    <xf numFmtId="0" fontId="4" fillId="2" borderId="20" xfId="0" applyFont="1" applyFill="1" applyBorder="1"/>
    <xf numFmtId="0" fontId="23" fillId="0" borderId="0" xfId="0" applyFont="1" applyAlignment="1">
      <alignment horizontal="left"/>
    </xf>
    <xf numFmtId="0" fontId="24" fillId="0" borderId="0" xfId="0" applyFont="1"/>
    <xf numFmtId="166" fontId="23" fillId="0" borderId="0" xfId="9" applyFont="1" applyBorder="1" applyAlignment="1">
      <alignment horizontal="left"/>
    </xf>
    <xf numFmtId="0" fontId="22" fillId="0" borderId="0" xfId="8" applyFont="1" applyAlignment="1">
      <alignment horizontal="left"/>
    </xf>
    <xf numFmtId="0" fontId="4" fillId="0" borderId="0" xfId="0" applyFont="1"/>
    <xf numFmtId="0" fontId="13" fillId="0" borderId="0" xfId="3" applyAlignment="1">
      <alignment wrapText="1"/>
    </xf>
    <xf numFmtId="0" fontId="16" fillId="9" borderId="15" xfId="0" applyFont="1" applyFill="1" applyBorder="1" applyAlignment="1">
      <alignment horizontal="left" vertical="center" indent="1"/>
    </xf>
    <xf numFmtId="0" fontId="4" fillId="2" borderId="20" xfId="0" applyFont="1" applyFill="1" applyBorder="1" applyAlignment="1">
      <alignment horizontal="left" indent="1"/>
    </xf>
    <xf numFmtId="0" fontId="16" fillId="9" borderId="15" xfId="0" applyFont="1" applyFill="1" applyBorder="1" applyAlignment="1">
      <alignment vertical="center"/>
    </xf>
    <xf numFmtId="0" fontId="28" fillId="0" borderId="0" xfId="5" quotePrefix="1" applyFont="1" applyAlignment="1">
      <alignment horizontal="center" vertical="center" wrapText="1"/>
    </xf>
    <xf numFmtId="169" fontId="15" fillId="3" borderId="6" xfId="10" applyNumberFormat="1" applyFont="1" applyFill="1" applyBorder="1">
      <alignment horizontal="center" vertical="center"/>
    </xf>
    <xf numFmtId="169" fontId="15" fillId="3" borderId="7" xfId="10" applyNumberFormat="1" applyFont="1" applyFill="1" applyBorder="1">
      <alignment horizontal="center" vertical="center"/>
    </xf>
    <xf numFmtId="169" fontId="15" fillId="7" borderId="0" xfId="0" applyNumberFormat="1" applyFont="1" applyFill="1" applyAlignment="1">
      <alignment horizontal="center" vertical="center"/>
    </xf>
    <xf numFmtId="169" fontId="1" fillId="7" borderId="0" xfId="0" applyNumberFormat="1" applyFont="1" applyFill="1" applyAlignment="1">
      <alignment horizontal="center" vertical="center"/>
    </xf>
    <xf numFmtId="169" fontId="15" fillId="4" borderId="5" xfId="10" applyNumberFormat="1" applyFont="1" applyFill="1" applyBorder="1">
      <alignment horizontal="center" vertical="center"/>
    </xf>
    <xf numFmtId="169" fontId="15" fillId="8" borderId="0" xfId="0" applyNumberFormat="1" applyFont="1" applyFill="1" applyAlignment="1">
      <alignment horizontal="center" vertical="center"/>
    </xf>
    <xf numFmtId="169" fontId="1" fillId="8" borderId="0" xfId="0" applyNumberFormat="1" applyFont="1" applyFill="1" applyAlignment="1">
      <alignment horizontal="center" vertical="center"/>
    </xf>
    <xf numFmtId="169" fontId="15" fillId="5" borderId="8" xfId="10" applyNumberFormat="1" applyFont="1" applyFill="1" applyBorder="1">
      <alignment horizontal="center" vertical="center"/>
    </xf>
    <xf numFmtId="0" fontId="15" fillId="11" borderId="5" xfId="11" applyFont="1" applyFill="1" applyBorder="1" applyAlignment="1">
      <alignment vertical="center"/>
    </xf>
    <xf numFmtId="9" fontId="1" fillId="11" borderId="5" xfId="2" applyFont="1" applyFill="1" applyBorder="1" applyAlignment="1">
      <alignment horizontal="center" vertical="center"/>
    </xf>
    <xf numFmtId="169" fontId="15" fillId="11" borderId="5" xfId="10" applyNumberFormat="1" applyFont="1" applyFill="1" applyBorder="1">
      <alignment horizontal="center" vertical="center"/>
    </xf>
    <xf numFmtId="0" fontId="15" fillId="12" borderId="5" xfId="11" applyFont="1" applyFill="1" applyBorder="1" applyAlignment="1">
      <alignment vertical="center"/>
    </xf>
    <xf numFmtId="9" fontId="1" fillId="12" borderId="5" xfId="2" applyFont="1" applyFill="1" applyBorder="1" applyAlignment="1">
      <alignment horizontal="center" vertical="center"/>
    </xf>
    <xf numFmtId="169" fontId="15" fillId="12" borderId="5" xfId="10" applyNumberFormat="1" applyFont="1" applyFill="1" applyBorder="1">
      <alignment horizontal="center" vertical="center"/>
    </xf>
    <xf numFmtId="0" fontId="15" fillId="12" borderId="0" xfId="12" applyFont="1" applyFill="1" applyBorder="1">
      <alignment horizontal="left" vertical="center" indent="2"/>
    </xf>
    <xf numFmtId="0" fontId="15" fillId="12" borderId="0" xfId="11" applyFont="1" applyFill="1" applyBorder="1" applyAlignment="1">
      <alignment vertical="center"/>
    </xf>
    <xf numFmtId="9" fontId="1" fillId="12" borderId="0" xfId="2" applyFont="1" applyFill="1" applyBorder="1" applyAlignment="1">
      <alignment horizontal="center" vertical="center"/>
    </xf>
    <xf numFmtId="169" fontId="15" fillId="12" borderId="0" xfId="10" applyNumberFormat="1" applyFont="1" applyFill="1" applyBorder="1">
      <alignment horizontal="center" vertical="center"/>
    </xf>
    <xf numFmtId="0" fontId="19" fillId="11" borderId="5" xfId="12" applyFont="1" applyFill="1" applyBorder="1" applyAlignment="1">
      <alignment horizontal="left" vertical="center" indent="1"/>
    </xf>
    <xf numFmtId="0" fontId="15" fillId="5" borderId="0" xfId="12" applyFont="1" applyFill="1" applyBorder="1">
      <alignment horizontal="left" vertical="center" indent="2"/>
    </xf>
    <xf numFmtId="0" fontId="15" fillId="5" borderId="0" xfId="11" applyFont="1" applyFill="1" applyBorder="1" applyAlignment="1">
      <alignment vertical="center"/>
    </xf>
    <xf numFmtId="9" fontId="1" fillId="5" borderId="0" xfId="2" applyFont="1" applyFill="1" applyBorder="1" applyAlignment="1">
      <alignment horizontal="center" vertical="center"/>
    </xf>
    <xf numFmtId="169" fontId="15" fillId="5" borderId="0" xfId="10" applyNumberFormat="1" applyFont="1" applyFill="1" applyBorder="1">
      <alignment horizontal="center" vertical="center"/>
    </xf>
    <xf numFmtId="0" fontId="29" fillId="13" borderId="21" xfId="0" applyFont="1" applyFill="1" applyBorder="1" applyAlignment="1">
      <alignment horizontal="left" vertical="center" indent="2"/>
    </xf>
    <xf numFmtId="0" fontId="25" fillId="0" borderId="0" xfId="5" applyFont="1" applyAlignment="1">
      <alignment vertical="center" wrapText="1"/>
    </xf>
    <xf numFmtId="0" fontId="30" fillId="0" borderId="0" xfId="5" applyFont="1" applyAlignment="1">
      <alignment horizontal="right" vertical="center" wrapText="1"/>
    </xf>
    <xf numFmtId="14" fontId="31" fillId="0" borderId="0" xfId="5" applyNumberFormat="1" applyFont="1" applyAlignment="1">
      <alignment vertical="center" wrapText="1"/>
    </xf>
    <xf numFmtId="0" fontId="4" fillId="0" borderId="22" xfId="0" applyFont="1" applyBorder="1" applyAlignment="1">
      <alignment vertical="center"/>
    </xf>
    <xf numFmtId="0" fontId="4" fillId="0" borderId="0" xfId="0" applyFont="1" applyBorder="1" applyAlignment="1">
      <alignment vertical="center"/>
    </xf>
    <xf numFmtId="0" fontId="30" fillId="0" borderId="0" xfId="5" applyFont="1" applyAlignment="1">
      <alignment vertical="center" wrapText="1"/>
    </xf>
    <xf numFmtId="0" fontId="32" fillId="0" borderId="0" xfId="0" applyFont="1"/>
    <xf numFmtId="0" fontId="22" fillId="0" borderId="0" xfId="8" applyFont="1" applyAlignment="1">
      <alignment horizontal="left" wrapText="1"/>
    </xf>
  </cellXfs>
  <cellStyles count="13">
    <cellStyle name="Cabeçalho 1" xfId="6" builtinId="16" customBuiltin="1"/>
    <cellStyle name="Cabeçalho 2" xfId="7" builtinId="17" customBuiltin="1"/>
    <cellStyle name="Cabeçalho 3" xfId="8" builtinId="18" customBuiltin="1"/>
    <cellStyle name="Date" xfId="10" xr:uid="{229918B6-DD13-4F5A-97B9-305F7E002AA3}"/>
    <cellStyle name="Hiperligação" xfId="1" builtinId="8" customBuiltin="1"/>
    <cellStyle name="Name" xfId="11" xr:uid="{B2D3C1EE-6B41-4801-AAFC-C2274E49E503}"/>
    <cellStyle name="Normal" xfId="0" builtinId="0"/>
    <cellStyle name="Percentagem" xfId="2" builtinId="5"/>
    <cellStyle name="Project Start" xfId="9" xr:uid="{8EB8A09A-C31C-40A3-B2C1-9449520178B8}"/>
    <cellStyle name="Task" xfId="12" xr:uid="{6391D789-272B-4DD2-9BF3-2CDCF610FA41}"/>
    <cellStyle name="Título" xfId="5" builtinId="15" customBuiltin="1"/>
    <cellStyle name="Vírgula" xfId="4" builtinId="3"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6DBFC5"/>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61"/>
  <sheetViews>
    <sheetView showGridLines="0" tabSelected="1" showRuler="0" zoomScale="98" zoomScaleNormal="55" zoomScalePageLayoutView="42" workbookViewId="0">
      <selection activeCell="F61" sqref="F61"/>
    </sheetView>
  </sheetViews>
  <sheetFormatPr defaultColWidth="8.69921875" defaultRowHeight="30" customHeight="1" x14ac:dyDescent="0.25"/>
  <cols>
    <col min="1" max="1" width="2.69921875" style="13" customWidth="1"/>
    <col min="2" max="2" width="45.3984375" customWidth="1"/>
    <col min="3" max="3" width="16.69921875" customWidth="1"/>
    <col min="4" max="4" width="10.69921875" customWidth="1"/>
    <col min="5" max="5" width="10.69921875" style="2" customWidth="1"/>
    <col min="6" max="6" width="10.69921875" customWidth="1"/>
    <col min="7" max="7" width="2.69921875" customWidth="1"/>
    <col min="8" max="8" width="6" hidden="1" customWidth="1"/>
    <col min="9" max="65" width="2.69921875" customWidth="1"/>
  </cols>
  <sheetData>
    <row r="1" spans="1:64" ht="90" customHeight="1" x14ac:dyDescent="0.6">
      <c r="A1" s="14"/>
      <c r="B1" s="90" t="s">
        <v>23</v>
      </c>
      <c r="C1" s="90"/>
      <c r="D1" s="90"/>
      <c r="E1" s="90"/>
      <c r="F1" s="90"/>
      <c r="H1" s="1"/>
      <c r="I1" s="84" t="s">
        <v>0</v>
      </c>
      <c r="J1" s="84"/>
      <c r="K1" s="84"/>
      <c r="L1" s="84"/>
      <c r="M1" s="84"/>
      <c r="N1" s="84"/>
      <c r="O1" s="84"/>
      <c r="P1" s="18"/>
      <c r="Q1" s="83">
        <f>DATE(2025,10,16)</f>
        <v>45946</v>
      </c>
      <c r="R1" s="82"/>
      <c r="S1" s="82"/>
      <c r="T1" s="82"/>
      <c r="U1" s="82"/>
      <c r="V1" s="82"/>
      <c r="W1" s="82"/>
      <c r="X1" s="82"/>
      <c r="Y1" s="82"/>
      <c r="Z1" s="82"/>
      <c r="AA1" s="121" t="s">
        <v>68</v>
      </c>
      <c r="AC1" s="122" t="s">
        <v>69</v>
      </c>
      <c r="AD1" s="122"/>
      <c r="AE1" s="122"/>
      <c r="AF1" s="122"/>
      <c r="AG1" s="122"/>
      <c r="AH1" s="122"/>
      <c r="AI1" s="122"/>
      <c r="AK1" s="83">
        <f>DATE(2026,3,1)</f>
        <v>46082</v>
      </c>
      <c r="AL1" s="82"/>
      <c r="AM1" s="82"/>
      <c r="AN1" s="82"/>
      <c r="AO1" s="82"/>
      <c r="AP1" s="82"/>
      <c r="AQ1" s="82"/>
      <c r="AR1" s="82"/>
      <c r="AS1" s="82"/>
      <c r="AT1" s="82"/>
    </row>
    <row r="2" spans="1:64" ht="30" customHeight="1" x14ac:dyDescent="0.6">
      <c r="B2" s="115"/>
      <c r="C2" s="115"/>
      <c r="D2" s="116"/>
      <c r="E2" s="116"/>
      <c r="F2" s="117"/>
      <c r="I2" s="84" t="s">
        <v>1</v>
      </c>
      <c r="J2" s="85"/>
      <c r="K2" s="85"/>
      <c r="L2" s="85"/>
      <c r="M2" s="85"/>
      <c r="N2" s="85"/>
      <c r="O2" s="85"/>
      <c r="P2" s="18"/>
      <c r="Q2" s="81">
        <v>1</v>
      </c>
      <c r="R2" s="82"/>
      <c r="S2" s="82"/>
      <c r="T2" s="82"/>
      <c r="U2" s="82"/>
      <c r="V2" s="82"/>
      <c r="W2" s="82"/>
      <c r="X2" s="82"/>
      <c r="Y2" s="82"/>
      <c r="Z2" s="82"/>
      <c r="AB2" s="120"/>
      <c r="AC2" s="120"/>
      <c r="AD2" s="120"/>
      <c r="AE2" s="120"/>
      <c r="AF2" s="120"/>
      <c r="AG2" s="120"/>
    </row>
    <row r="3" spans="1:64" s="19" customFormat="1" ht="30" customHeight="1" x14ac:dyDescent="0.25">
      <c r="A3" s="13"/>
      <c r="B3" s="115"/>
      <c r="C3" s="115"/>
    </row>
    <row r="4" spans="1:64" s="19" customFormat="1" ht="30" customHeight="1" x14ac:dyDescent="0.25">
      <c r="A4" s="14"/>
      <c r="B4" s="20"/>
      <c r="E4" s="21"/>
      <c r="I4" s="78">
        <f>I5</f>
        <v>45943</v>
      </c>
      <c r="J4" s="76"/>
      <c r="K4" s="76"/>
      <c r="L4" s="76"/>
      <c r="M4" s="76"/>
      <c r="N4" s="76"/>
      <c r="O4" s="76"/>
      <c r="P4" s="76">
        <f>P5</f>
        <v>45950</v>
      </c>
      <c r="Q4" s="76"/>
      <c r="R4" s="76"/>
      <c r="S4" s="76"/>
      <c r="T4" s="76"/>
      <c r="U4" s="76"/>
      <c r="V4" s="76"/>
      <c r="W4" s="76">
        <f>W5</f>
        <v>45957</v>
      </c>
      <c r="X4" s="76"/>
      <c r="Y4" s="76"/>
      <c r="Z4" s="76"/>
      <c r="AA4" s="76"/>
      <c r="AB4" s="76"/>
      <c r="AC4" s="76"/>
      <c r="AD4" s="76">
        <f>AD5</f>
        <v>45964</v>
      </c>
      <c r="AE4" s="76"/>
      <c r="AF4" s="76"/>
      <c r="AG4" s="76"/>
      <c r="AH4" s="76"/>
      <c r="AI4" s="76"/>
      <c r="AJ4" s="76"/>
      <c r="AK4" s="76">
        <f>AK5</f>
        <v>45971</v>
      </c>
      <c r="AL4" s="76"/>
      <c r="AM4" s="76"/>
      <c r="AN4" s="76"/>
      <c r="AO4" s="76"/>
      <c r="AP4" s="76"/>
      <c r="AQ4" s="76"/>
      <c r="AR4" s="76">
        <f>AR5</f>
        <v>45978</v>
      </c>
      <c r="AS4" s="76"/>
      <c r="AT4" s="76"/>
      <c r="AU4" s="76"/>
      <c r="AV4" s="76"/>
      <c r="AW4" s="76"/>
      <c r="AX4" s="76"/>
      <c r="AY4" s="76">
        <f>AY5</f>
        <v>45985</v>
      </c>
      <c r="AZ4" s="76"/>
      <c r="BA4" s="76"/>
      <c r="BB4" s="76"/>
      <c r="BC4" s="76"/>
      <c r="BD4" s="76"/>
      <c r="BE4" s="76"/>
      <c r="BF4" s="76">
        <f>BF5</f>
        <v>45992</v>
      </c>
      <c r="BG4" s="76"/>
      <c r="BH4" s="76"/>
      <c r="BI4" s="76"/>
      <c r="BJ4" s="76"/>
      <c r="BK4" s="76"/>
      <c r="BL4" s="77"/>
    </row>
    <row r="5" spans="1:64" s="19" customFormat="1" ht="15" customHeight="1" x14ac:dyDescent="0.25">
      <c r="A5" s="86"/>
      <c r="B5" s="87" t="s">
        <v>2</v>
      </c>
      <c r="C5" s="89" t="s">
        <v>3</v>
      </c>
      <c r="D5" s="79" t="s">
        <v>4</v>
      </c>
      <c r="E5" s="79" t="s">
        <v>5</v>
      </c>
      <c r="F5" s="79" t="s">
        <v>6</v>
      </c>
      <c r="I5" s="22">
        <f>Project_Start-WEEKDAY(Project_Start,1)+2+7*(Display_Week-1)</f>
        <v>45943</v>
      </c>
      <c r="J5" s="22">
        <f>I5+1</f>
        <v>45944</v>
      </c>
      <c r="K5" s="22">
        <f t="shared" ref="K5:AX5" si="0">J5+1</f>
        <v>45945</v>
      </c>
      <c r="L5" s="22">
        <f t="shared" si="0"/>
        <v>45946</v>
      </c>
      <c r="M5" s="22">
        <f t="shared" si="0"/>
        <v>45947</v>
      </c>
      <c r="N5" s="22">
        <f t="shared" si="0"/>
        <v>45948</v>
      </c>
      <c r="O5" s="23">
        <f t="shared" si="0"/>
        <v>45949</v>
      </c>
      <c r="P5" s="24">
        <f>O5+1</f>
        <v>45950</v>
      </c>
      <c r="Q5" s="22">
        <f>P5+1</f>
        <v>45951</v>
      </c>
      <c r="R5" s="22">
        <f t="shared" si="0"/>
        <v>45952</v>
      </c>
      <c r="S5" s="22">
        <f t="shared" si="0"/>
        <v>45953</v>
      </c>
      <c r="T5" s="22">
        <f t="shared" si="0"/>
        <v>45954</v>
      </c>
      <c r="U5" s="22">
        <f t="shared" si="0"/>
        <v>45955</v>
      </c>
      <c r="V5" s="23">
        <f t="shared" si="0"/>
        <v>45956</v>
      </c>
      <c r="W5" s="24">
        <f>V5+1</f>
        <v>45957</v>
      </c>
      <c r="X5" s="22">
        <f>W5+1</f>
        <v>45958</v>
      </c>
      <c r="Y5" s="22">
        <f t="shared" si="0"/>
        <v>45959</v>
      </c>
      <c r="Z5" s="22">
        <f t="shared" si="0"/>
        <v>45960</v>
      </c>
      <c r="AA5" s="22">
        <f t="shared" si="0"/>
        <v>45961</v>
      </c>
      <c r="AB5" s="22">
        <f t="shared" si="0"/>
        <v>45962</v>
      </c>
      <c r="AC5" s="23">
        <f t="shared" si="0"/>
        <v>45963</v>
      </c>
      <c r="AD5" s="24">
        <f>AC5+1</f>
        <v>45964</v>
      </c>
      <c r="AE5" s="22">
        <f>AD5+1</f>
        <v>45965</v>
      </c>
      <c r="AF5" s="22">
        <f t="shared" si="0"/>
        <v>45966</v>
      </c>
      <c r="AG5" s="22">
        <f t="shared" si="0"/>
        <v>45967</v>
      </c>
      <c r="AH5" s="22">
        <f t="shared" si="0"/>
        <v>45968</v>
      </c>
      <c r="AI5" s="22">
        <f t="shared" si="0"/>
        <v>45969</v>
      </c>
      <c r="AJ5" s="23">
        <f t="shared" si="0"/>
        <v>45970</v>
      </c>
      <c r="AK5" s="24">
        <f>AJ5+1</f>
        <v>45971</v>
      </c>
      <c r="AL5" s="22">
        <f>AK5+1</f>
        <v>45972</v>
      </c>
      <c r="AM5" s="22">
        <f t="shared" si="0"/>
        <v>45973</v>
      </c>
      <c r="AN5" s="22">
        <f t="shared" si="0"/>
        <v>45974</v>
      </c>
      <c r="AO5" s="22">
        <f t="shared" si="0"/>
        <v>45975</v>
      </c>
      <c r="AP5" s="22">
        <f t="shared" si="0"/>
        <v>45976</v>
      </c>
      <c r="AQ5" s="23">
        <f t="shared" si="0"/>
        <v>45977</v>
      </c>
      <c r="AR5" s="24">
        <f>AQ5+1</f>
        <v>45978</v>
      </c>
      <c r="AS5" s="22">
        <f>AR5+1</f>
        <v>45979</v>
      </c>
      <c r="AT5" s="22">
        <f t="shared" si="0"/>
        <v>45980</v>
      </c>
      <c r="AU5" s="22">
        <f t="shared" si="0"/>
        <v>45981</v>
      </c>
      <c r="AV5" s="22">
        <f t="shared" si="0"/>
        <v>45982</v>
      </c>
      <c r="AW5" s="22">
        <f t="shared" si="0"/>
        <v>45983</v>
      </c>
      <c r="AX5" s="23">
        <f t="shared" si="0"/>
        <v>45984</v>
      </c>
      <c r="AY5" s="24">
        <f>AX5+1</f>
        <v>45985</v>
      </c>
      <c r="AZ5" s="22">
        <f>AY5+1</f>
        <v>45986</v>
      </c>
      <c r="BA5" s="22">
        <f t="shared" ref="BA5:BE5" si="1">AZ5+1</f>
        <v>45987</v>
      </c>
      <c r="BB5" s="22">
        <f t="shared" si="1"/>
        <v>45988</v>
      </c>
      <c r="BC5" s="22">
        <f t="shared" si="1"/>
        <v>45989</v>
      </c>
      <c r="BD5" s="22">
        <f t="shared" si="1"/>
        <v>45990</v>
      </c>
      <c r="BE5" s="23">
        <f t="shared" si="1"/>
        <v>45991</v>
      </c>
      <c r="BF5" s="24">
        <f>BE5+1</f>
        <v>45992</v>
      </c>
      <c r="BG5" s="22">
        <f>BF5+1</f>
        <v>45993</v>
      </c>
      <c r="BH5" s="22">
        <f t="shared" ref="BH5:BL5" si="2">BG5+1</f>
        <v>45994</v>
      </c>
      <c r="BI5" s="22">
        <f t="shared" si="2"/>
        <v>45995</v>
      </c>
      <c r="BJ5" s="22">
        <f t="shared" si="2"/>
        <v>45996</v>
      </c>
      <c r="BK5" s="22">
        <f t="shared" si="2"/>
        <v>45997</v>
      </c>
      <c r="BL5" s="22">
        <f t="shared" si="2"/>
        <v>45998</v>
      </c>
    </row>
    <row r="6" spans="1:64" s="19" customFormat="1" ht="15" customHeight="1" thickBot="1" x14ac:dyDescent="0.3">
      <c r="A6" s="86"/>
      <c r="B6" s="88"/>
      <c r="C6" s="80"/>
      <c r="D6" s="80"/>
      <c r="E6" s="80"/>
      <c r="F6" s="80"/>
      <c r="I6" s="25" t="str">
        <f t="shared" ref="I6:AN6" si="3">LEFT(TEXT(I5,"ddd"),1)</f>
        <v>s</v>
      </c>
      <c r="J6" s="26" t="str">
        <f t="shared" si="3"/>
        <v>t</v>
      </c>
      <c r="K6" s="26" t="str">
        <f t="shared" si="3"/>
        <v>q</v>
      </c>
      <c r="L6" s="26" t="str">
        <f t="shared" si="3"/>
        <v>q</v>
      </c>
      <c r="M6" s="26" t="str">
        <f t="shared" si="3"/>
        <v>s</v>
      </c>
      <c r="N6" s="26" t="str">
        <f t="shared" si="3"/>
        <v>s</v>
      </c>
      <c r="O6" s="26" t="str">
        <f t="shared" si="3"/>
        <v>d</v>
      </c>
      <c r="P6" s="26" t="str">
        <f t="shared" si="3"/>
        <v>s</v>
      </c>
      <c r="Q6" s="26" t="str">
        <f t="shared" si="3"/>
        <v>t</v>
      </c>
      <c r="R6" s="26" t="str">
        <f t="shared" si="3"/>
        <v>q</v>
      </c>
      <c r="S6" s="26" t="str">
        <f t="shared" si="3"/>
        <v>q</v>
      </c>
      <c r="T6" s="26" t="str">
        <f t="shared" si="3"/>
        <v>s</v>
      </c>
      <c r="U6" s="26" t="str">
        <f t="shared" si="3"/>
        <v>s</v>
      </c>
      <c r="V6" s="26" t="str">
        <f t="shared" si="3"/>
        <v>d</v>
      </c>
      <c r="W6" s="26" t="str">
        <f t="shared" si="3"/>
        <v>s</v>
      </c>
      <c r="X6" s="26" t="str">
        <f t="shared" si="3"/>
        <v>t</v>
      </c>
      <c r="Y6" s="26" t="str">
        <f t="shared" si="3"/>
        <v>q</v>
      </c>
      <c r="Z6" s="26" t="str">
        <f t="shared" si="3"/>
        <v>q</v>
      </c>
      <c r="AA6" s="26" t="str">
        <f t="shared" si="3"/>
        <v>s</v>
      </c>
      <c r="AB6" s="26" t="str">
        <f t="shared" si="3"/>
        <v>s</v>
      </c>
      <c r="AC6" s="26" t="str">
        <f t="shared" si="3"/>
        <v>d</v>
      </c>
      <c r="AD6" s="26" t="str">
        <f t="shared" si="3"/>
        <v>s</v>
      </c>
      <c r="AE6" s="26" t="str">
        <f t="shared" si="3"/>
        <v>t</v>
      </c>
      <c r="AF6" s="26" t="str">
        <f t="shared" si="3"/>
        <v>q</v>
      </c>
      <c r="AG6" s="26" t="str">
        <f t="shared" si="3"/>
        <v>q</v>
      </c>
      <c r="AH6" s="26" t="str">
        <f t="shared" si="3"/>
        <v>s</v>
      </c>
      <c r="AI6" s="26" t="str">
        <f t="shared" si="3"/>
        <v>s</v>
      </c>
      <c r="AJ6" s="26" t="str">
        <f t="shared" si="3"/>
        <v>d</v>
      </c>
      <c r="AK6" s="26" t="str">
        <f t="shared" si="3"/>
        <v>s</v>
      </c>
      <c r="AL6" s="26" t="str">
        <f t="shared" si="3"/>
        <v>t</v>
      </c>
      <c r="AM6" s="26" t="str">
        <f t="shared" si="3"/>
        <v>q</v>
      </c>
      <c r="AN6" s="26" t="str">
        <f t="shared" si="3"/>
        <v>q</v>
      </c>
      <c r="AO6" s="26" t="str">
        <f t="shared" ref="AO6:BL6" si="4">LEFT(TEXT(AO5,"ddd"),1)</f>
        <v>s</v>
      </c>
      <c r="AP6" s="26" t="str">
        <f t="shared" si="4"/>
        <v>s</v>
      </c>
      <c r="AQ6" s="26" t="str">
        <f t="shared" si="4"/>
        <v>d</v>
      </c>
      <c r="AR6" s="26" t="str">
        <f t="shared" si="4"/>
        <v>s</v>
      </c>
      <c r="AS6" s="26" t="str">
        <f t="shared" si="4"/>
        <v>t</v>
      </c>
      <c r="AT6" s="26" t="str">
        <f t="shared" si="4"/>
        <v>q</v>
      </c>
      <c r="AU6" s="26" t="str">
        <f t="shared" si="4"/>
        <v>q</v>
      </c>
      <c r="AV6" s="26" t="str">
        <f t="shared" si="4"/>
        <v>s</v>
      </c>
      <c r="AW6" s="26" t="str">
        <f t="shared" si="4"/>
        <v>s</v>
      </c>
      <c r="AX6" s="26" t="str">
        <f t="shared" si="4"/>
        <v>d</v>
      </c>
      <c r="AY6" s="26" t="str">
        <f t="shared" si="4"/>
        <v>s</v>
      </c>
      <c r="AZ6" s="26" t="str">
        <f t="shared" si="4"/>
        <v>t</v>
      </c>
      <c r="BA6" s="26" t="str">
        <f t="shared" si="4"/>
        <v>q</v>
      </c>
      <c r="BB6" s="26" t="str">
        <f t="shared" si="4"/>
        <v>q</v>
      </c>
      <c r="BC6" s="26" t="str">
        <f t="shared" si="4"/>
        <v>s</v>
      </c>
      <c r="BD6" s="26" t="str">
        <f t="shared" si="4"/>
        <v>s</v>
      </c>
      <c r="BE6" s="26" t="str">
        <f t="shared" si="4"/>
        <v>d</v>
      </c>
      <c r="BF6" s="26" t="str">
        <f t="shared" si="4"/>
        <v>s</v>
      </c>
      <c r="BG6" s="26" t="str">
        <f t="shared" si="4"/>
        <v>t</v>
      </c>
      <c r="BH6" s="26" t="str">
        <f t="shared" si="4"/>
        <v>q</v>
      </c>
      <c r="BI6" s="26" t="str">
        <f t="shared" si="4"/>
        <v>q</v>
      </c>
      <c r="BJ6" s="26" t="str">
        <f t="shared" si="4"/>
        <v>s</v>
      </c>
      <c r="BK6" s="26" t="str">
        <f t="shared" si="4"/>
        <v>s</v>
      </c>
      <c r="BL6" s="27" t="str">
        <f t="shared" si="4"/>
        <v>d</v>
      </c>
    </row>
    <row r="7" spans="1:64" s="19" customFormat="1" ht="30" hidden="1" customHeight="1" thickBot="1" x14ac:dyDescent="0.3">
      <c r="A7" s="13" t="s">
        <v>7</v>
      </c>
      <c r="B7" s="28"/>
      <c r="C7" s="29"/>
      <c r="D7" s="28"/>
      <c r="E7" s="28"/>
      <c r="F7" s="28"/>
      <c r="H7" s="19" t="str">
        <f>IF(OR(ISBLANK(task_start),ISBLANK(task_end)),"",task_end-task_start+1)</f>
        <v/>
      </c>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c r="BK7" s="30"/>
      <c r="BL7" s="30"/>
    </row>
    <row r="8" spans="1:64" s="37" customFormat="1" ht="30" customHeight="1" thickBot="1" x14ac:dyDescent="0.3">
      <c r="A8" s="14"/>
      <c r="B8" s="31" t="s">
        <v>28</v>
      </c>
      <c r="C8" s="32"/>
      <c r="D8" s="33"/>
      <c r="E8" s="34"/>
      <c r="F8" s="35"/>
      <c r="G8" s="17"/>
      <c r="H8" s="5" t="str">
        <f t="shared" ref="H8:H58" si="5">IF(OR(ISBLANK(task_start),ISBLANK(task_end)),"",task_end-task_start+1)</f>
        <v/>
      </c>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119"/>
      <c r="AZ8" s="119"/>
      <c r="BA8" s="119"/>
      <c r="BB8" s="36"/>
      <c r="BC8" s="36"/>
      <c r="BD8" s="36"/>
      <c r="BE8" s="36"/>
      <c r="BF8" s="36"/>
      <c r="BG8" s="36"/>
      <c r="BH8" s="36"/>
      <c r="BI8" s="36"/>
      <c r="BJ8" s="36"/>
      <c r="BK8" s="36"/>
      <c r="BL8" s="36"/>
    </row>
    <row r="9" spans="1:64" s="37" customFormat="1" ht="30" customHeight="1" thickBot="1" x14ac:dyDescent="0.3">
      <c r="A9" s="14"/>
      <c r="B9" s="38" t="s">
        <v>24</v>
      </c>
      <c r="C9" s="39" t="s">
        <v>25</v>
      </c>
      <c r="D9" s="40">
        <v>1</v>
      </c>
      <c r="E9" s="91">
        <f>DATE(2025, 10, 16)</f>
        <v>45946</v>
      </c>
      <c r="F9" s="91">
        <f>E9+7</f>
        <v>45953</v>
      </c>
      <c r="G9" s="17"/>
      <c r="H9" s="5">
        <f t="shared" si="5"/>
        <v>8</v>
      </c>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118"/>
      <c r="AZ9" s="118"/>
      <c r="BA9" s="118"/>
      <c r="BB9" s="41"/>
      <c r="BC9" s="41"/>
      <c r="BD9" s="41"/>
      <c r="BE9" s="41"/>
      <c r="BF9" s="41"/>
      <c r="BG9" s="41"/>
      <c r="BH9" s="41"/>
      <c r="BI9" s="41"/>
      <c r="BJ9" s="41"/>
      <c r="BK9" s="41"/>
      <c r="BL9" s="41"/>
    </row>
    <row r="10" spans="1:64" s="37" customFormat="1" ht="30" customHeight="1" thickBot="1" x14ac:dyDescent="0.3">
      <c r="A10" s="14"/>
      <c r="B10" s="42" t="s">
        <v>30</v>
      </c>
      <c r="C10" s="39" t="s">
        <v>25</v>
      </c>
      <c r="D10" s="43">
        <v>1</v>
      </c>
      <c r="E10" s="92">
        <f>E9</f>
        <v>45946</v>
      </c>
      <c r="F10" s="92">
        <f>E10+21</f>
        <v>45967</v>
      </c>
      <c r="G10" s="17"/>
      <c r="H10" s="5">
        <f t="shared" si="5"/>
        <v>22</v>
      </c>
      <c r="I10" s="41"/>
      <c r="J10" s="41"/>
      <c r="K10" s="41"/>
      <c r="L10" s="41"/>
      <c r="M10" s="41"/>
      <c r="N10" s="41"/>
      <c r="O10" s="41"/>
      <c r="P10" s="41"/>
      <c r="Q10" s="41"/>
      <c r="R10" s="41"/>
      <c r="S10" s="41"/>
      <c r="T10" s="41"/>
      <c r="U10" s="44"/>
      <c r="V10" s="44"/>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row>
    <row r="11" spans="1:64" s="37" customFormat="1" ht="30" customHeight="1" thickBot="1" x14ac:dyDescent="0.3">
      <c r="A11" s="13"/>
      <c r="B11" s="42" t="s">
        <v>32</v>
      </c>
      <c r="C11" s="39" t="s">
        <v>25</v>
      </c>
      <c r="D11" s="43">
        <v>1</v>
      </c>
      <c r="E11" s="92">
        <f>F10+1</f>
        <v>45968</v>
      </c>
      <c r="F11" s="92">
        <f>F12</f>
        <v>45984</v>
      </c>
      <c r="G11" s="17"/>
      <c r="H11" s="5">
        <f t="shared" si="5"/>
        <v>17</v>
      </c>
      <c r="I11" s="41"/>
      <c r="J11" s="41"/>
      <c r="K11" s="41"/>
      <c r="L11" s="41"/>
      <c r="M11" s="41"/>
      <c r="N11" s="41"/>
      <c r="O11" s="41"/>
      <c r="P11" s="41"/>
      <c r="Q11" s="41"/>
      <c r="R11" s="41"/>
      <c r="S11" s="41"/>
      <c r="T11" s="41"/>
      <c r="U11" s="41"/>
      <c r="V11" s="41"/>
      <c r="W11" s="41"/>
      <c r="X11" s="41"/>
      <c r="Y11" s="44"/>
      <c r="Z11" s="41"/>
      <c r="AA11" s="41"/>
      <c r="AB11" s="41"/>
      <c r="AC11" s="41"/>
      <c r="AD11" s="41"/>
      <c r="AE11" s="41"/>
      <c r="AF11" s="41"/>
      <c r="AG11" s="41"/>
      <c r="AH11" s="41"/>
      <c r="AI11" s="41"/>
      <c r="AJ11" s="41"/>
      <c r="AK11" s="41"/>
      <c r="AL11" s="41"/>
      <c r="AM11" s="41"/>
      <c r="AN11" s="41"/>
      <c r="AO11" s="41"/>
      <c r="AP11" s="41"/>
      <c r="AQ11" s="41"/>
      <c r="AR11" s="41"/>
      <c r="AS11" s="41"/>
      <c r="AT11" s="41"/>
      <c r="AU11" s="41"/>
      <c r="AV11" s="41"/>
      <c r="AW11" s="41"/>
      <c r="AX11" s="41"/>
      <c r="AY11" s="41"/>
      <c r="AZ11" s="41"/>
      <c r="BA11" s="41"/>
      <c r="BB11" s="41"/>
      <c r="BC11" s="41"/>
      <c r="BD11" s="41"/>
      <c r="BE11" s="41"/>
      <c r="BF11" s="41"/>
      <c r="BG11" s="41"/>
      <c r="BH11" s="41"/>
      <c r="BI11" s="41"/>
      <c r="BJ11" s="41"/>
      <c r="BK11" s="41"/>
      <c r="BL11" s="41"/>
    </row>
    <row r="12" spans="1:64" s="37" customFormat="1" ht="30" customHeight="1" thickBot="1" x14ac:dyDescent="0.3">
      <c r="A12" s="13"/>
      <c r="B12" s="42" t="s">
        <v>31</v>
      </c>
      <c r="C12" s="39" t="s">
        <v>25</v>
      </c>
      <c r="D12" s="43">
        <v>1</v>
      </c>
      <c r="E12" s="92">
        <f>E11+7</f>
        <v>45975</v>
      </c>
      <c r="F12" s="92">
        <f>E12+9</f>
        <v>45984</v>
      </c>
      <c r="G12" s="17"/>
      <c r="H12" s="5">
        <f t="shared" si="5"/>
        <v>10</v>
      </c>
      <c r="I12" s="41"/>
      <c r="J12" s="41"/>
      <c r="K12" s="41"/>
      <c r="L12" s="41"/>
      <c r="M12" s="41"/>
      <c r="N12" s="41"/>
      <c r="O12" s="41"/>
      <c r="P12" s="41"/>
      <c r="Q12" s="41"/>
      <c r="R12" s="41"/>
      <c r="S12" s="41"/>
      <c r="T12" s="41"/>
      <c r="U12" s="41"/>
      <c r="V12" s="41"/>
      <c r="W12" s="41"/>
      <c r="X12" s="41"/>
      <c r="Y12" s="41"/>
      <c r="Z12" s="41"/>
      <c r="AA12" s="41"/>
      <c r="AB12" s="41"/>
      <c r="AC12" s="41"/>
      <c r="AD12" s="41"/>
      <c r="AE12" s="41"/>
      <c r="AF12" s="41"/>
      <c r="AG12" s="41"/>
      <c r="AH12" s="41"/>
      <c r="AI12" s="41"/>
      <c r="AJ12" s="41"/>
      <c r="AK12" s="41"/>
      <c r="AL12" s="41"/>
      <c r="AM12" s="41"/>
      <c r="AN12" s="41"/>
      <c r="AO12" s="41"/>
      <c r="AP12" s="41"/>
      <c r="AQ12" s="41"/>
      <c r="AR12" s="41"/>
      <c r="AS12" s="41"/>
      <c r="AT12" s="41"/>
      <c r="AU12" s="41"/>
      <c r="AV12" s="41"/>
      <c r="AW12" s="41"/>
      <c r="AX12" s="41"/>
      <c r="AY12" s="41"/>
      <c r="AZ12" s="41"/>
      <c r="BA12" s="41"/>
      <c r="BB12" s="41"/>
      <c r="BC12" s="41"/>
      <c r="BD12" s="41"/>
      <c r="BE12" s="41"/>
      <c r="BF12" s="41"/>
      <c r="BG12" s="41"/>
      <c r="BH12" s="41"/>
      <c r="BI12" s="41"/>
      <c r="BJ12" s="41"/>
      <c r="BK12" s="41"/>
      <c r="BL12" s="41"/>
    </row>
    <row r="13" spans="1:64" s="37" customFormat="1" ht="30" customHeight="1" thickBot="1" x14ac:dyDescent="0.3">
      <c r="A13" s="14"/>
      <c r="B13" s="45" t="s">
        <v>27</v>
      </c>
      <c r="C13" s="46"/>
      <c r="D13" s="47"/>
      <c r="E13" s="93"/>
      <c r="F13" s="94"/>
      <c r="G13" s="17"/>
      <c r="H13" s="5" t="str">
        <f t="shared" si="5"/>
        <v/>
      </c>
    </row>
    <row r="14" spans="1:64" s="37" customFormat="1" ht="30" customHeight="1" thickBot="1" x14ac:dyDescent="0.3">
      <c r="A14" s="14"/>
      <c r="B14" s="48" t="s">
        <v>29</v>
      </c>
      <c r="C14" s="49" t="s">
        <v>25</v>
      </c>
      <c r="D14" s="50">
        <v>0.5</v>
      </c>
      <c r="E14" s="95">
        <f>DATE(2025,10,30)</f>
        <v>45960</v>
      </c>
      <c r="F14" s="95">
        <f>AK1</f>
        <v>46082</v>
      </c>
      <c r="G14" s="17"/>
      <c r="H14" s="5">
        <f t="shared" si="5"/>
        <v>123</v>
      </c>
      <c r="I14" s="41"/>
      <c r="J14" s="41"/>
      <c r="K14" s="41"/>
      <c r="L14" s="41"/>
      <c r="M14" s="41"/>
      <c r="N14" s="41"/>
      <c r="O14" s="41"/>
      <c r="P14" s="41"/>
      <c r="Q14" s="41"/>
      <c r="R14" s="41"/>
      <c r="S14" s="41"/>
      <c r="T14" s="41"/>
      <c r="U14" s="41"/>
      <c r="V14" s="41"/>
      <c r="W14" s="41"/>
      <c r="X14" s="41"/>
      <c r="Y14" s="41"/>
      <c r="Z14" s="41"/>
      <c r="AA14" s="41"/>
      <c r="AB14" s="41"/>
      <c r="AC14" s="41"/>
      <c r="AD14" s="41"/>
      <c r="AE14" s="41"/>
      <c r="AF14" s="41"/>
      <c r="AG14" s="41"/>
      <c r="AH14" s="41"/>
      <c r="AI14" s="41"/>
      <c r="AJ14" s="41"/>
      <c r="AK14" s="41"/>
      <c r="AL14" s="41"/>
      <c r="AM14" s="41"/>
      <c r="AN14" s="41"/>
      <c r="AO14" s="41"/>
      <c r="AP14" s="41"/>
      <c r="AQ14" s="41"/>
      <c r="AR14" s="41"/>
      <c r="AS14" s="41"/>
      <c r="AT14" s="41"/>
      <c r="AU14" s="41"/>
      <c r="AV14" s="41"/>
      <c r="AW14" s="41"/>
      <c r="AX14" s="41"/>
      <c r="AY14" s="41"/>
      <c r="AZ14" s="41"/>
      <c r="BA14" s="41"/>
      <c r="BB14" s="41"/>
      <c r="BC14" s="41"/>
      <c r="BD14" s="41"/>
      <c r="BE14" s="41"/>
      <c r="BF14" s="41"/>
      <c r="BG14" s="41"/>
      <c r="BH14" s="41"/>
      <c r="BI14" s="41"/>
      <c r="BJ14" s="41"/>
      <c r="BK14" s="41"/>
      <c r="BL14" s="41"/>
    </row>
    <row r="15" spans="1:64" s="37" customFormat="1" ht="30" customHeight="1" thickBot="1" x14ac:dyDescent="0.3">
      <c r="A15" s="13"/>
      <c r="B15" s="48" t="s">
        <v>26</v>
      </c>
      <c r="C15" s="49" t="s">
        <v>25</v>
      </c>
      <c r="D15" s="50">
        <v>1</v>
      </c>
      <c r="E15" s="95">
        <f>E14+2</f>
        <v>45962</v>
      </c>
      <c r="F15" s="95">
        <f>E15+5</f>
        <v>45967</v>
      </c>
      <c r="G15" s="17"/>
      <c r="H15" s="5">
        <f t="shared" si="5"/>
        <v>6</v>
      </c>
      <c r="I15" s="41"/>
      <c r="J15" s="41"/>
      <c r="K15" s="41"/>
      <c r="L15" s="41"/>
      <c r="M15" s="41"/>
      <c r="N15" s="41"/>
      <c r="O15" s="41"/>
      <c r="P15" s="41"/>
      <c r="Q15" s="41"/>
      <c r="R15" s="41"/>
      <c r="S15" s="41"/>
      <c r="T15" s="41"/>
      <c r="U15" s="44"/>
      <c r="V15" s="44"/>
      <c r="W15" s="41"/>
      <c r="X15" s="41"/>
      <c r="Y15" s="41"/>
      <c r="Z15" s="41"/>
      <c r="AA15" s="41"/>
      <c r="AB15" s="41"/>
      <c r="AC15" s="41"/>
      <c r="AD15" s="41"/>
      <c r="AE15" s="41"/>
      <c r="AF15" s="41"/>
      <c r="AG15" s="41"/>
      <c r="AH15" s="41"/>
      <c r="AI15" s="41"/>
      <c r="AJ15" s="41"/>
      <c r="AK15" s="41"/>
      <c r="AL15" s="41"/>
      <c r="AM15" s="41"/>
      <c r="AN15" s="41"/>
      <c r="AO15" s="41"/>
      <c r="AP15" s="41"/>
      <c r="AQ15" s="41"/>
      <c r="AR15" s="41"/>
      <c r="AS15" s="41"/>
      <c r="AT15" s="41"/>
      <c r="AU15" s="41"/>
      <c r="AV15" s="41"/>
      <c r="AW15" s="41"/>
      <c r="AX15" s="41"/>
      <c r="AY15" s="41"/>
      <c r="AZ15" s="41"/>
      <c r="BA15" s="41"/>
      <c r="BB15" s="41"/>
      <c r="BC15" s="41"/>
      <c r="BD15" s="41"/>
      <c r="BE15" s="41"/>
      <c r="BF15" s="41"/>
      <c r="BG15" s="41"/>
      <c r="BH15" s="41"/>
      <c r="BI15" s="41"/>
      <c r="BJ15" s="41"/>
      <c r="BK15" s="41"/>
      <c r="BL15" s="41"/>
    </row>
    <row r="16" spans="1:64" s="37" customFormat="1" ht="30" customHeight="1" thickBot="1" x14ac:dyDescent="0.3">
      <c r="A16" s="13"/>
      <c r="B16" s="48" t="s">
        <v>66</v>
      </c>
      <c r="C16" s="49" t="s">
        <v>25</v>
      </c>
      <c r="D16" s="50">
        <v>1</v>
      </c>
      <c r="E16" s="95">
        <f>E11+7</f>
        <v>45975</v>
      </c>
      <c r="F16" s="95">
        <f>E16+10</f>
        <v>45985</v>
      </c>
      <c r="G16" s="17"/>
      <c r="H16" s="5">
        <f t="shared" si="5"/>
        <v>11</v>
      </c>
      <c r="I16" s="41"/>
      <c r="J16" s="41"/>
      <c r="K16" s="41"/>
      <c r="L16" s="41"/>
      <c r="M16" s="41"/>
      <c r="N16" s="41"/>
      <c r="O16" s="41"/>
      <c r="P16" s="41"/>
      <c r="Q16" s="41"/>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c r="AW16" s="41"/>
      <c r="AX16" s="41"/>
      <c r="AY16" s="41"/>
      <c r="AZ16" s="41"/>
      <c r="BA16" s="41"/>
      <c r="BB16" s="41"/>
      <c r="BC16" s="41"/>
      <c r="BD16" s="41"/>
      <c r="BE16" s="41"/>
      <c r="BF16" s="41"/>
      <c r="BG16" s="41"/>
      <c r="BH16" s="41"/>
      <c r="BI16" s="41"/>
      <c r="BJ16" s="41"/>
      <c r="BK16" s="41"/>
      <c r="BL16" s="41"/>
    </row>
    <row r="17" spans="1:64" s="37" customFormat="1" ht="30" customHeight="1" thickBot="1" x14ac:dyDescent="0.3">
      <c r="A17" s="13"/>
      <c r="B17" s="48" t="s">
        <v>67</v>
      </c>
      <c r="C17" s="49" t="s">
        <v>25</v>
      </c>
      <c r="D17" s="50">
        <v>0.5</v>
      </c>
      <c r="E17" s="95">
        <f>F16</f>
        <v>45985</v>
      </c>
      <c r="F17" s="95">
        <f>E17+14</f>
        <v>45999</v>
      </c>
      <c r="G17" s="17"/>
      <c r="H17" s="5"/>
      <c r="I17" s="41"/>
      <c r="J17" s="41"/>
      <c r="K17" s="41"/>
      <c r="L17" s="41"/>
      <c r="M17" s="41"/>
      <c r="N17" s="41"/>
      <c r="O17" s="41"/>
      <c r="P17" s="41"/>
      <c r="Q17" s="41"/>
      <c r="R17" s="41"/>
      <c r="S17" s="41"/>
      <c r="T17" s="41"/>
      <c r="U17" s="41"/>
      <c r="V17" s="41"/>
      <c r="W17" s="41"/>
      <c r="X17" s="41"/>
      <c r="Y17" s="41"/>
      <c r="Z17" s="41"/>
      <c r="AA17" s="41"/>
      <c r="AB17" s="41"/>
      <c r="AC17" s="41"/>
      <c r="AD17" s="41"/>
      <c r="AE17" s="41"/>
      <c r="AF17" s="41"/>
      <c r="AG17" s="41"/>
      <c r="AH17" s="41"/>
      <c r="AI17" s="41"/>
      <c r="AJ17" s="41"/>
      <c r="AK17" s="41"/>
      <c r="AL17" s="41"/>
      <c r="AM17" s="41"/>
      <c r="AN17" s="41"/>
      <c r="AO17" s="41"/>
      <c r="AP17" s="41"/>
      <c r="AQ17" s="41"/>
      <c r="AR17" s="41"/>
      <c r="AS17" s="41"/>
      <c r="AT17" s="41"/>
      <c r="AU17" s="41"/>
      <c r="AV17" s="41"/>
      <c r="AW17" s="41"/>
      <c r="AX17" s="41"/>
      <c r="AY17" s="41"/>
      <c r="AZ17" s="41"/>
      <c r="BA17" s="41"/>
      <c r="BB17" s="41"/>
      <c r="BC17" s="41"/>
      <c r="BD17" s="41"/>
      <c r="BE17" s="41"/>
      <c r="BF17" s="41"/>
      <c r="BG17" s="41"/>
      <c r="BH17" s="41"/>
      <c r="BI17" s="41"/>
      <c r="BJ17" s="41"/>
      <c r="BK17" s="41"/>
      <c r="BL17" s="41"/>
    </row>
    <row r="18" spans="1:64" s="37" customFormat="1" ht="30" customHeight="1" thickBot="1" x14ac:dyDescent="0.3">
      <c r="A18" s="13"/>
      <c r="B18" s="48" t="s">
        <v>34</v>
      </c>
      <c r="C18" s="49" t="s">
        <v>25</v>
      </c>
      <c r="D18" s="50">
        <v>0.05</v>
      </c>
      <c r="E18" s="95">
        <f>F16</f>
        <v>45985</v>
      </c>
      <c r="F18" s="95">
        <f>E18+7</f>
        <v>45992</v>
      </c>
      <c r="G18" s="17"/>
      <c r="H18" s="5">
        <f t="shared" si="5"/>
        <v>8</v>
      </c>
      <c r="I18" s="41"/>
      <c r="J18" s="41"/>
      <c r="K18" s="41"/>
      <c r="L18" s="41"/>
      <c r="M18" s="41"/>
      <c r="N18" s="41"/>
      <c r="O18" s="41"/>
      <c r="P18" s="41"/>
      <c r="Q18" s="41"/>
      <c r="R18" s="41"/>
      <c r="S18" s="41"/>
      <c r="T18" s="41"/>
      <c r="U18" s="41"/>
      <c r="V18" s="41"/>
      <c r="W18" s="41"/>
      <c r="X18" s="41"/>
      <c r="Y18" s="44"/>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1"/>
      <c r="AX18" s="41"/>
      <c r="AY18" s="41"/>
      <c r="AZ18" s="41"/>
      <c r="BA18" s="41"/>
      <c r="BB18" s="41"/>
      <c r="BC18" s="41"/>
      <c r="BD18" s="41"/>
      <c r="BE18" s="41"/>
      <c r="BF18" s="41"/>
      <c r="BG18" s="41"/>
      <c r="BH18" s="41"/>
      <c r="BI18" s="41"/>
      <c r="BJ18" s="41"/>
      <c r="BK18" s="41"/>
      <c r="BL18" s="41"/>
    </row>
    <row r="19" spans="1:64" s="37" customFormat="1" ht="30" customHeight="1" thickBot="1" x14ac:dyDescent="0.3">
      <c r="A19" s="13"/>
      <c r="B19" s="109" t="s">
        <v>41</v>
      </c>
      <c r="C19" s="99"/>
      <c r="D19" s="100"/>
      <c r="E19" s="101"/>
      <c r="F19" s="101"/>
      <c r="G19" s="17"/>
      <c r="H19" s="5" t="str">
        <f t="shared" si="5"/>
        <v/>
      </c>
      <c r="I19" s="41"/>
      <c r="J19" s="41"/>
      <c r="K19" s="41"/>
      <c r="L19" s="41"/>
      <c r="M19" s="41"/>
      <c r="N19" s="41"/>
      <c r="O19" s="41"/>
      <c r="P19" s="41"/>
      <c r="Q19" s="41"/>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c r="AW19" s="41"/>
      <c r="AX19" s="41"/>
      <c r="AY19" s="41"/>
      <c r="AZ19" s="41"/>
      <c r="BA19" s="41"/>
      <c r="BB19" s="41"/>
      <c r="BC19" s="41"/>
      <c r="BD19" s="41"/>
      <c r="BE19" s="41"/>
      <c r="BF19" s="41"/>
      <c r="BG19" s="41"/>
      <c r="BH19" s="41"/>
      <c r="BI19" s="41"/>
      <c r="BJ19" s="41"/>
      <c r="BK19" s="41"/>
      <c r="BL19" s="41"/>
    </row>
    <row r="20" spans="1:64" s="37" customFormat="1" ht="30" customHeight="1" thickBot="1" x14ac:dyDescent="0.3">
      <c r="A20" s="13"/>
      <c r="B20" s="105" t="s">
        <v>38</v>
      </c>
      <c r="C20" s="102" t="s">
        <v>25</v>
      </c>
      <c r="D20" s="103">
        <v>0</v>
      </c>
      <c r="E20" s="104">
        <f>F17</f>
        <v>45999</v>
      </c>
      <c r="F20" s="104">
        <f>F17+14</f>
        <v>46013</v>
      </c>
      <c r="G20" s="17"/>
      <c r="H20" s="5"/>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119"/>
      <c r="AY20" s="119"/>
      <c r="AZ20" s="119"/>
      <c r="BA20" s="119"/>
      <c r="BB20" s="119"/>
      <c r="BC20" s="119"/>
      <c r="BD20" s="54"/>
      <c r="BE20" s="54"/>
      <c r="BF20" s="54"/>
      <c r="BG20" s="54"/>
      <c r="BH20" s="54"/>
      <c r="BI20" s="54"/>
      <c r="BJ20" s="54"/>
      <c r="BK20" s="54"/>
      <c r="BL20" s="54"/>
    </row>
    <row r="21" spans="1:64" s="37" customFormat="1" ht="30" customHeight="1" thickBot="1" x14ac:dyDescent="0.3">
      <c r="A21" s="13"/>
      <c r="B21" s="105" t="s">
        <v>39</v>
      </c>
      <c r="C21" s="102" t="s">
        <v>33</v>
      </c>
      <c r="D21" s="107">
        <v>0</v>
      </c>
      <c r="E21" s="108">
        <f>F17</f>
        <v>45999</v>
      </c>
      <c r="F21" s="108">
        <f>F17+14</f>
        <v>46013</v>
      </c>
      <c r="G21" s="17"/>
      <c r="H21" s="5"/>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119"/>
      <c r="AY21" s="119"/>
      <c r="AZ21" s="119"/>
      <c r="BA21" s="119"/>
      <c r="BB21" s="119"/>
      <c r="BC21" s="119"/>
      <c r="BD21" s="54"/>
      <c r="BE21" s="54"/>
      <c r="BF21" s="54"/>
      <c r="BG21" s="54"/>
      <c r="BH21" s="54"/>
      <c r="BI21" s="54"/>
      <c r="BJ21" s="54"/>
      <c r="BK21" s="54"/>
      <c r="BL21" s="54"/>
    </row>
    <row r="22" spans="1:64" s="37" customFormat="1" ht="30" customHeight="1" thickBot="1" x14ac:dyDescent="0.3">
      <c r="A22" s="13"/>
      <c r="B22" s="105" t="s">
        <v>36</v>
      </c>
      <c r="C22" s="102" t="s">
        <v>25</v>
      </c>
      <c r="D22" s="107">
        <v>0</v>
      </c>
      <c r="E22" s="108">
        <f>F17</f>
        <v>45999</v>
      </c>
      <c r="F22" s="108">
        <f>F17+14</f>
        <v>46013</v>
      </c>
      <c r="G22" s="17"/>
      <c r="H22" s="5"/>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119"/>
      <c r="AY22" s="119"/>
      <c r="AZ22" s="119"/>
      <c r="BA22" s="119"/>
      <c r="BB22" s="119"/>
      <c r="BC22" s="119"/>
      <c r="BD22" s="54"/>
      <c r="BE22" s="54"/>
      <c r="BF22" s="54"/>
      <c r="BG22" s="54"/>
      <c r="BH22" s="54"/>
      <c r="BI22" s="54"/>
      <c r="BJ22" s="54"/>
      <c r="BK22" s="54"/>
      <c r="BL22" s="54"/>
    </row>
    <row r="23" spans="1:64" s="37" customFormat="1" ht="30" customHeight="1" thickBot="1" x14ac:dyDescent="0.3">
      <c r="A23" s="13"/>
      <c r="B23" s="105" t="s">
        <v>40</v>
      </c>
      <c r="C23" s="106" t="s">
        <v>35</v>
      </c>
      <c r="D23" s="107">
        <v>0</v>
      </c>
      <c r="E23" s="108">
        <f>F17</f>
        <v>45999</v>
      </c>
      <c r="F23" s="108">
        <f>F17+14</f>
        <v>46013</v>
      </c>
      <c r="G23" s="17"/>
      <c r="H23" s="5"/>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119"/>
      <c r="AY23" s="119"/>
      <c r="AZ23" s="119"/>
      <c r="BA23" s="119"/>
      <c r="BB23" s="119"/>
      <c r="BC23" s="119"/>
      <c r="BD23" s="54"/>
      <c r="BE23" s="54"/>
      <c r="BF23" s="54"/>
      <c r="BG23" s="54"/>
      <c r="BH23" s="54"/>
      <c r="BI23" s="54"/>
      <c r="BJ23" s="54"/>
      <c r="BK23" s="54"/>
      <c r="BL23" s="54"/>
    </row>
    <row r="24" spans="1:64" s="37" customFormat="1" ht="30" customHeight="1" thickBot="1" x14ac:dyDescent="0.3">
      <c r="A24" s="13"/>
      <c r="B24" s="51" t="s">
        <v>46</v>
      </c>
      <c r="C24" s="52"/>
      <c r="D24" s="53"/>
      <c r="E24" s="96"/>
      <c r="F24" s="97"/>
      <c r="G24" s="17"/>
      <c r="H24" s="5"/>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119"/>
      <c r="AY24" s="119"/>
      <c r="AZ24" s="119"/>
      <c r="BA24" s="119"/>
      <c r="BB24" s="119"/>
      <c r="BC24" s="119"/>
      <c r="BD24" s="54"/>
      <c r="BE24" s="54"/>
      <c r="BF24" s="54"/>
      <c r="BG24" s="54"/>
      <c r="BH24" s="54"/>
      <c r="BI24" s="54"/>
      <c r="BJ24" s="54"/>
      <c r="BK24" s="54"/>
      <c r="BL24" s="54"/>
    </row>
    <row r="25" spans="1:64" s="37" customFormat="1" ht="30" customHeight="1" thickBot="1" x14ac:dyDescent="0.3">
      <c r="A25" s="13"/>
      <c r="B25" s="55" t="s">
        <v>47</v>
      </c>
      <c r="C25" s="56" t="s">
        <v>25</v>
      </c>
      <c r="D25" s="57">
        <v>0</v>
      </c>
      <c r="E25" s="98"/>
      <c r="F25" s="98"/>
      <c r="G25" s="17"/>
      <c r="H25" s="5"/>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119"/>
      <c r="AY25" s="119"/>
      <c r="AZ25" s="119"/>
      <c r="BA25" s="119"/>
      <c r="BB25" s="119"/>
      <c r="BC25" s="119"/>
      <c r="BD25" s="54"/>
      <c r="BE25" s="54"/>
      <c r="BF25" s="54"/>
      <c r="BG25" s="54"/>
      <c r="BH25" s="54"/>
      <c r="BI25" s="54"/>
      <c r="BJ25" s="54"/>
      <c r="BK25" s="54"/>
      <c r="BL25" s="54"/>
    </row>
    <row r="26" spans="1:64" s="37" customFormat="1" ht="30" customHeight="1" thickBot="1" x14ac:dyDescent="0.3">
      <c r="A26" s="13"/>
      <c r="B26" s="55" t="s">
        <v>61</v>
      </c>
      <c r="C26" s="56" t="s">
        <v>35</v>
      </c>
      <c r="D26" s="57">
        <v>0</v>
      </c>
      <c r="E26" s="98"/>
      <c r="F26" s="98"/>
      <c r="G26" s="17"/>
      <c r="H26" s="5"/>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119"/>
      <c r="AY26" s="119"/>
      <c r="AZ26" s="119"/>
      <c r="BA26" s="119"/>
      <c r="BB26" s="119"/>
      <c r="BC26" s="119"/>
      <c r="BD26" s="54"/>
      <c r="BE26" s="54"/>
      <c r="BF26" s="54"/>
      <c r="BG26" s="54"/>
      <c r="BH26" s="54"/>
      <c r="BI26" s="54"/>
      <c r="BJ26" s="54"/>
      <c r="BK26" s="54"/>
      <c r="BL26" s="54"/>
    </row>
    <row r="27" spans="1:64" s="37" customFormat="1" ht="30" customHeight="1" thickBot="1" x14ac:dyDescent="0.3">
      <c r="A27" s="13"/>
      <c r="B27" s="55" t="s">
        <v>48</v>
      </c>
      <c r="C27" s="56" t="s">
        <v>25</v>
      </c>
      <c r="D27" s="57">
        <v>0</v>
      </c>
      <c r="E27" s="98"/>
      <c r="F27" s="98"/>
      <c r="G27" s="17"/>
      <c r="H27" s="5"/>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119"/>
      <c r="AY27" s="119"/>
      <c r="AZ27" s="119"/>
      <c r="BA27" s="119"/>
      <c r="BB27" s="119"/>
      <c r="BC27" s="119"/>
      <c r="BD27" s="54"/>
      <c r="BE27" s="54"/>
      <c r="BF27" s="54"/>
      <c r="BG27" s="54"/>
      <c r="BH27" s="54"/>
      <c r="BI27" s="54"/>
      <c r="BJ27" s="54"/>
      <c r="BK27" s="54"/>
      <c r="BL27" s="54"/>
    </row>
    <row r="28" spans="1:64" s="37" customFormat="1" ht="30" customHeight="1" thickBot="1" x14ac:dyDescent="0.3">
      <c r="A28" s="13"/>
      <c r="B28" s="110" t="s">
        <v>40</v>
      </c>
      <c r="C28" s="111" t="s">
        <v>35</v>
      </c>
      <c r="D28" s="112">
        <v>0</v>
      </c>
      <c r="E28" s="113"/>
      <c r="F28" s="113"/>
      <c r="G28" s="17"/>
      <c r="H28" s="5"/>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row>
    <row r="29" spans="1:64" s="37" customFormat="1" ht="30" customHeight="1" thickBot="1" x14ac:dyDescent="0.3">
      <c r="A29" s="13"/>
      <c r="B29" s="109" t="s">
        <v>51</v>
      </c>
      <c r="C29" s="99"/>
      <c r="D29" s="100"/>
      <c r="E29" s="101"/>
      <c r="F29" s="101"/>
      <c r="G29" s="17"/>
      <c r="H29" s="5"/>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row>
    <row r="30" spans="1:64" s="37" customFormat="1" ht="30" customHeight="1" thickBot="1" x14ac:dyDescent="0.3">
      <c r="A30" s="13"/>
      <c r="B30" s="105" t="s">
        <v>49</v>
      </c>
      <c r="C30" s="102" t="s">
        <v>25</v>
      </c>
      <c r="D30" s="103">
        <v>0</v>
      </c>
      <c r="E30" s="104"/>
      <c r="F30" s="104"/>
      <c r="G30" s="17"/>
      <c r="H30" s="5"/>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row>
    <row r="31" spans="1:64" s="37" customFormat="1" ht="30" customHeight="1" thickBot="1" x14ac:dyDescent="0.3">
      <c r="A31" s="13"/>
      <c r="B31" s="105" t="s">
        <v>52</v>
      </c>
      <c r="C31" s="102" t="s">
        <v>25</v>
      </c>
      <c r="D31" s="107">
        <v>0</v>
      </c>
      <c r="E31" s="108"/>
      <c r="F31" s="108"/>
      <c r="G31" s="17"/>
      <c r="H31" s="5"/>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row>
    <row r="32" spans="1:64" s="37" customFormat="1" ht="30" customHeight="1" thickBot="1" x14ac:dyDescent="0.3">
      <c r="A32" s="13"/>
      <c r="B32" s="105" t="s">
        <v>40</v>
      </c>
      <c r="C32" s="106" t="s">
        <v>35</v>
      </c>
      <c r="D32" s="107">
        <v>0</v>
      </c>
      <c r="E32" s="108"/>
      <c r="F32" s="108"/>
      <c r="G32" s="17"/>
      <c r="H32" s="5"/>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row>
    <row r="33" spans="1:64" s="37" customFormat="1" ht="30" customHeight="1" thickBot="1" x14ac:dyDescent="0.3">
      <c r="A33" s="13"/>
      <c r="B33" s="51" t="s">
        <v>50</v>
      </c>
      <c r="C33" s="52"/>
      <c r="D33" s="53"/>
      <c r="E33" s="96"/>
      <c r="F33" s="97"/>
      <c r="G33" s="17"/>
      <c r="H33" s="5" t="str">
        <f t="shared" si="5"/>
        <v/>
      </c>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row>
    <row r="34" spans="1:64" s="37" customFormat="1" ht="30" customHeight="1" thickBot="1" x14ac:dyDescent="0.3">
      <c r="A34" s="13"/>
      <c r="B34" s="55" t="s">
        <v>37</v>
      </c>
      <c r="C34" s="56" t="s">
        <v>25</v>
      </c>
      <c r="D34" s="57">
        <v>0</v>
      </c>
      <c r="E34" s="98"/>
      <c r="F34" s="98"/>
      <c r="G34" s="17"/>
      <c r="H34" s="5" t="str">
        <f t="shared" si="5"/>
        <v/>
      </c>
      <c r="I34" s="41"/>
      <c r="J34" s="41"/>
      <c r="K34" s="41"/>
      <c r="L34" s="41"/>
      <c r="M34" s="41"/>
      <c r="N34" s="41"/>
      <c r="O34" s="41"/>
      <c r="P34" s="41"/>
      <c r="Q34" s="41"/>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c r="AW34" s="41"/>
      <c r="AX34" s="41"/>
      <c r="AY34" s="41"/>
      <c r="AZ34" s="41"/>
      <c r="BA34" s="41"/>
      <c r="BB34" s="41"/>
      <c r="BC34" s="41"/>
      <c r="BD34" s="41"/>
      <c r="BE34" s="41"/>
      <c r="BF34" s="41"/>
      <c r="BG34" s="41"/>
      <c r="BH34" s="41"/>
      <c r="BI34" s="41"/>
      <c r="BJ34" s="41"/>
      <c r="BK34" s="41"/>
      <c r="BL34" s="41"/>
    </row>
    <row r="35" spans="1:64" s="37" customFormat="1" ht="30" customHeight="1" thickBot="1" x14ac:dyDescent="0.3">
      <c r="A35" s="13"/>
      <c r="B35" s="55" t="s">
        <v>56</v>
      </c>
      <c r="C35" s="56" t="s">
        <v>25</v>
      </c>
      <c r="D35" s="57">
        <v>0</v>
      </c>
      <c r="E35" s="98"/>
      <c r="F35" s="98"/>
      <c r="G35" s="17"/>
      <c r="H35" s="5"/>
      <c r="I35" s="41"/>
      <c r="J35" s="41"/>
      <c r="K35" s="41"/>
      <c r="L35" s="41"/>
      <c r="M35" s="41"/>
      <c r="N35" s="41"/>
      <c r="O35" s="41"/>
      <c r="P35" s="41"/>
      <c r="Q35" s="41"/>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c r="AW35" s="41"/>
      <c r="AX35" s="41"/>
      <c r="AY35" s="41"/>
      <c r="AZ35" s="41"/>
      <c r="BA35" s="41"/>
      <c r="BB35" s="41"/>
      <c r="BC35" s="41"/>
      <c r="BD35" s="41"/>
      <c r="BE35" s="41"/>
      <c r="BF35" s="41"/>
      <c r="BG35" s="41"/>
      <c r="BH35" s="41"/>
      <c r="BI35" s="41"/>
      <c r="BJ35" s="41"/>
      <c r="BK35" s="41"/>
      <c r="BL35" s="41"/>
    </row>
    <row r="36" spans="1:64" s="37" customFormat="1" ht="30" customHeight="1" thickBot="1" x14ac:dyDescent="0.3">
      <c r="A36" s="13"/>
      <c r="B36" s="55" t="s">
        <v>54</v>
      </c>
      <c r="C36" s="56" t="s">
        <v>25</v>
      </c>
      <c r="D36" s="57">
        <v>0</v>
      </c>
      <c r="E36" s="98"/>
      <c r="F36" s="98"/>
      <c r="G36" s="17"/>
      <c r="H36" s="5"/>
      <c r="I36" s="41"/>
      <c r="J36" s="41"/>
      <c r="K36" s="41"/>
      <c r="L36" s="41"/>
      <c r="M36" s="41"/>
      <c r="N36" s="41"/>
      <c r="O36" s="41"/>
      <c r="P36" s="41"/>
      <c r="Q36" s="41"/>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c r="AW36" s="41"/>
      <c r="AX36" s="41"/>
      <c r="AY36" s="41"/>
      <c r="AZ36" s="41"/>
      <c r="BA36" s="41"/>
      <c r="BB36" s="41"/>
      <c r="BC36" s="41"/>
      <c r="BD36" s="41"/>
      <c r="BE36" s="41"/>
      <c r="BF36" s="41"/>
      <c r="BG36" s="41"/>
      <c r="BH36" s="41"/>
      <c r="BI36" s="41"/>
      <c r="BJ36" s="41"/>
      <c r="BK36" s="41"/>
      <c r="BL36" s="41"/>
    </row>
    <row r="37" spans="1:64" s="37" customFormat="1" ht="30" customHeight="1" thickBot="1" x14ac:dyDescent="0.3">
      <c r="A37" s="13"/>
      <c r="B37" s="110" t="s">
        <v>40</v>
      </c>
      <c r="C37" s="111" t="s">
        <v>35</v>
      </c>
      <c r="D37" s="112">
        <v>0</v>
      </c>
      <c r="E37" s="113"/>
      <c r="F37" s="113"/>
      <c r="G37" s="17"/>
      <c r="H37" s="5"/>
      <c r="I37" s="41"/>
      <c r="J37" s="41"/>
      <c r="K37" s="41"/>
      <c r="L37" s="41"/>
      <c r="M37" s="41"/>
      <c r="N37" s="41"/>
      <c r="O37" s="41"/>
      <c r="P37" s="41"/>
      <c r="Q37" s="41"/>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c r="AW37" s="41"/>
      <c r="AX37" s="41"/>
      <c r="AY37" s="41"/>
      <c r="AZ37" s="41"/>
      <c r="BA37" s="41"/>
      <c r="BB37" s="41"/>
      <c r="BC37" s="41"/>
      <c r="BD37" s="41"/>
      <c r="BE37" s="41"/>
      <c r="BF37" s="41"/>
      <c r="BG37" s="41"/>
      <c r="BH37" s="41"/>
      <c r="BI37" s="41"/>
      <c r="BJ37" s="41"/>
      <c r="BK37" s="41"/>
      <c r="BL37" s="41"/>
    </row>
    <row r="38" spans="1:64" s="37" customFormat="1" ht="30" customHeight="1" thickBot="1" x14ac:dyDescent="0.3">
      <c r="A38" s="13"/>
      <c r="B38" s="109" t="s">
        <v>53</v>
      </c>
      <c r="C38" s="99"/>
      <c r="D38" s="100"/>
      <c r="E38" s="101"/>
      <c r="F38" s="101"/>
      <c r="G38" s="17"/>
      <c r="H38" s="5"/>
      <c r="I38" s="41"/>
      <c r="J38" s="41"/>
      <c r="K38" s="41"/>
      <c r="L38" s="41"/>
      <c r="M38" s="41"/>
      <c r="N38" s="41"/>
      <c r="O38" s="41"/>
      <c r="P38" s="41"/>
      <c r="Q38" s="41"/>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c r="AW38" s="41"/>
      <c r="AX38" s="41"/>
      <c r="AY38" s="41"/>
      <c r="AZ38" s="41"/>
      <c r="BA38" s="41"/>
      <c r="BB38" s="41"/>
      <c r="BC38" s="41"/>
      <c r="BD38" s="41"/>
      <c r="BE38" s="41"/>
      <c r="BF38" s="41"/>
      <c r="BG38" s="41"/>
      <c r="BH38" s="41"/>
      <c r="BI38" s="41"/>
      <c r="BJ38" s="41"/>
      <c r="BK38" s="41"/>
      <c r="BL38" s="41"/>
    </row>
    <row r="39" spans="1:64" s="37" customFormat="1" ht="30" customHeight="1" thickBot="1" x14ac:dyDescent="0.3">
      <c r="A39" s="13"/>
      <c r="B39" s="105" t="s">
        <v>42</v>
      </c>
      <c r="C39" s="102" t="s">
        <v>25</v>
      </c>
      <c r="D39" s="103">
        <v>0</v>
      </c>
      <c r="E39" s="104"/>
      <c r="F39" s="104"/>
      <c r="G39" s="17"/>
      <c r="H39" s="5"/>
      <c r="I39" s="41"/>
      <c r="J39" s="41"/>
      <c r="K39" s="41"/>
      <c r="L39" s="41"/>
      <c r="M39" s="41"/>
      <c r="N39" s="41"/>
      <c r="O39" s="41"/>
      <c r="P39" s="41"/>
      <c r="Q39" s="41"/>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c r="AW39" s="41"/>
      <c r="AX39" s="41"/>
      <c r="AY39" s="41"/>
      <c r="AZ39" s="41"/>
      <c r="BA39" s="41"/>
      <c r="BB39" s="41"/>
      <c r="BC39" s="41"/>
      <c r="BD39" s="41"/>
      <c r="BE39" s="41"/>
      <c r="BF39" s="41"/>
      <c r="BG39" s="41"/>
      <c r="BH39" s="41"/>
      <c r="BI39" s="41"/>
      <c r="BJ39" s="41"/>
      <c r="BK39" s="41"/>
      <c r="BL39" s="41"/>
    </row>
    <row r="40" spans="1:64" s="37" customFormat="1" ht="30" customHeight="1" thickBot="1" x14ac:dyDescent="0.3">
      <c r="A40" s="13"/>
      <c r="B40" s="105" t="s">
        <v>43</v>
      </c>
      <c r="C40" s="102" t="s">
        <v>25</v>
      </c>
      <c r="D40" s="107">
        <v>0</v>
      </c>
      <c r="E40" s="108"/>
      <c r="F40" s="108"/>
      <c r="G40" s="17"/>
      <c r="H40" s="5" t="str">
        <f t="shared" si="5"/>
        <v/>
      </c>
      <c r="I40" s="41"/>
      <c r="J40" s="41"/>
      <c r="K40" s="41"/>
      <c r="L40" s="41"/>
      <c r="M40" s="41"/>
      <c r="N40" s="41"/>
      <c r="O40" s="41"/>
      <c r="P40" s="41"/>
      <c r="Q40" s="41"/>
      <c r="R40" s="41"/>
      <c r="S40" s="41"/>
      <c r="T40" s="41"/>
      <c r="U40" s="41"/>
      <c r="V40" s="41"/>
      <c r="W40" s="41"/>
      <c r="X40" s="41"/>
      <c r="Y40" s="41"/>
      <c r="Z40" s="41"/>
      <c r="AA40" s="41"/>
      <c r="AB40" s="41"/>
      <c r="AC40" s="41"/>
      <c r="AD40" s="41"/>
      <c r="AE40" s="41"/>
      <c r="AF40" s="41"/>
      <c r="AG40" s="41"/>
      <c r="AH40" s="41"/>
      <c r="AI40" s="41"/>
      <c r="AJ40" s="41"/>
      <c r="AK40" s="41"/>
      <c r="AL40" s="41"/>
      <c r="AM40" s="41"/>
      <c r="AN40" s="41"/>
      <c r="AO40" s="41"/>
      <c r="AP40" s="41"/>
      <c r="AQ40" s="41"/>
      <c r="AR40" s="41"/>
      <c r="AS40" s="41"/>
      <c r="AT40" s="41"/>
      <c r="AU40" s="41"/>
      <c r="AV40" s="41"/>
      <c r="AW40" s="41"/>
      <c r="AX40" s="41"/>
      <c r="AY40" s="41"/>
      <c r="AZ40" s="41"/>
      <c r="BA40" s="41"/>
      <c r="BB40" s="41"/>
      <c r="BC40" s="41"/>
      <c r="BD40" s="41"/>
      <c r="BE40" s="41"/>
      <c r="BF40" s="41"/>
      <c r="BG40" s="41"/>
      <c r="BH40" s="41"/>
      <c r="BI40" s="41"/>
      <c r="BJ40" s="41"/>
      <c r="BK40" s="41"/>
      <c r="BL40" s="41"/>
    </row>
    <row r="41" spans="1:64" s="37" customFormat="1" ht="30" customHeight="1" thickBot="1" x14ac:dyDescent="0.3">
      <c r="A41" s="13"/>
      <c r="B41" s="105" t="s">
        <v>40</v>
      </c>
      <c r="C41" s="106" t="s">
        <v>35</v>
      </c>
      <c r="D41" s="107">
        <v>0</v>
      </c>
      <c r="E41" s="108"/>
      <c r="F41" s="108"/>
      <c r="G41" s="17"/>
      <c r="H41" s="5" t="str">
        <f t="shared" si="5"/>
        <v/>
      </c>
      <c r="I41" s="41"/>
      <c r="J41" s="41"/>
      <c r="K41" s="41"/>
      <c r="L41" s="41"/>
      <c r="M41" s="41"/>
      <c r="N41" s="41"/>
      <c r="O41" s="41"/>
      <c r="P41" s="41"/>
      <c r="Q41" s="41"/>
      <c r="R41" s="41"/>
      <c r="S41" s="41"/>
      <c r="T41" s="41"/>
      <c r="U41" s="41"/>
      <c r="V41" s="41"/>
      <c r="W41" s="41"/>
      <c r="X41" s="41"/>
      <c r="Y41" s="41"/>
      <c r="Z41" s="41"/>
      <c r="AA41" s="41"/>
      <c r="AB41" s="41"/>
      <c r="AC41" s="41"/>
      <c r="AD41" s="41"/>
      <c r="AE41" s="41"/>
      <c r="AF41" s="41"/>
      <c r="AG41" s="41"/>
      <c r="AH41" s="41"/>
      <c r="AI41" s="41"/>
      <c r="AJ41" s="41"/>
      <c r="AK41" s="41"/>
      <c r="AL41" s="41"/>
      <c r="AM41" s="41"/>
      <c r="AN41" s="41"/>
      <c r="AO41" s="41"/>
      <c r="AP41" s="41"/>
      <c r="AQ41" s="41"/>
      <c r="AR41" s="41"/>
      <c r="AS41" s="41"/>
      <c r="AT41" s="41"/>
      <c r="AU41" s="41"/>
      <c r="AV41" s="41"/>
      <c r="AW41" s="41"/>
      <c r="AX41" s="41"/>
      <c r="AY41" s="41"/>
      <c r="AZ41" s="41"/>
      <c r="BA41" s="41"/>
      <c r="BB41" s="41"/>
      <c r="BC41" s="41"/>
      <c r="BD41" s="41"/>
      <c r="BE41" s="41"/>
      <c r="BF41" s="41"/>
      <c r="BG41" s="41"/>
      <c r="BH41" s="41"/>
      <c r="BI41" s="41"/>
      <c r="BJ41" s="41"/>
      <c r="BK41" s="41"/>
      <c r="BL41" s="41"/>
    </row>
    <row r="42" spans="1:64" s="37" customFormat="1" ht="30" customHeight="1" thickBot="1" x14ac:dyDescent="0.3">
      <c r="A42" s="13"/>
      <c r="B42" s="51" t="s">
        <v>58</v>
      </c>
      <c r="C42" s="52"/>
      <c r="D42" s="53"/>
      <c r="E42" s="96"/>
      <c r="F42" s="97"/>
      <c r="G42" s="17"/>
      <c r="H42" s="5"/>
      <c r="I42" s="41"/>
      <c r="J42" s="41"/>
      <c r="K42" s="41"/>
      <c r="L42" s="41"/>
      <c r="M42" s="41"/>
      <c r="N42" s="41"/>
      <c r="O42" s="41"/>
      <c r="P42" s="41"/>
      <c r="Q42" s="41"/>
      <c r="R42" s="41"/>
      <c r="S42" s="41"/>
      <c r="T42" s="41"/>
      <c r="U42" s="41"/>
      <c r="V42" s="41"/>
      <c r="W42" s="41"/>
      <c r="X42" s="41"/>
      <c r="Y42" s="41"/>
      <c r="Z42" s="41"/>
      <c r="AA42" s="41"/>
      <c r="AB42" s="41"/>
      <c r="AC42" s="41"/>
      <c r="AD42" s="41"/>
      <c r="AE42" s="41"/>
      <c r="AF42" s="41"/>
      <c r="AG42" s="41"/>
      <c r="AH42" s="41"/>
      <c r="AI42" s="41"/>
      <c r="AJ42" s="41"/>
      <c r="AK42" s="41"/>
      <c r="AL42" s="41"/>
      <c r="AM42" s="41"/>
      <c r="AN42" s="41"/>
      <c r="AO42" s="41"/>
      <c r="AP42" s="41"/>
      <c r="AQ42" s="41"/>
      <c r="AR42" s="41"/>
      <c r="AS42" s="41"/>
      <c r="AT42" s="41"/>
      <c r="AU42" s="41"/>
      <c r="AV42" s="41"/>
      <c r="AW42" s="41"/>
      <c r="AX42" s="41"/>
      <c r="AY42" s="41"/>
      <c r="AZ42" s="41"/>
      <c r="BA42" s="41"/>
      <c r="BB42" s="41"/>
      <c r="BC42" s="41"/>
      <c r="BD42" s="41"/>
      <c r="BE42" s="41"/>
      <c r="BF42" s="41"/>
      <c r="BG42" s="41"/>
      <c r="BH42" s="41"/>
      <c r="BI42" s="41"/>
      <c r="BJ42" s="41"/>
      <c r="BK42" s="41"/>
      <c r="BL42" s="41"/>
    </row>
    <row r="43" spans="1:64" s="37" customFormat="1" ht="30" customHeight="1" thickBot="1" x14ac:dyDescent="0.3">
      <c r="A43" s="13"/>
      <c r="B43" s="114" t="s">
        <v>44</v>
      </c>
      <c r="C43" s="56" t="s">
        <v>25</v>
      </c>
      <c r="D43" s="57">
        <v>0</v>
      </c>
      <c r="E43" s="98"/>
      <c r="F43" s="98"/>
      <c r="G43" s="17"/>
      <c r="H43" s="5"/>
      <c r="I43" s="41"/>
      <c r="J43" s="41"/>
      <c r="K43" s="41"/>
      <c r="L43" s="41"/>
      <c r="M43" s="41"/>
      <c r="N43" s="41"/>
      <c r="O43" s="41"/>
      <c r="P43" s="41"/>
      <c r="Q43" s="41"/>
      <c r="R43" s="41"/>
      <c r="S43" s="41"/>
      <c r="T43" s="41"/>
      <c r="U43" s="41"/>
      <c r="V43" s="41"/>
      <c r="W43" s="41"/>
      <c r="X43" s="41"/>
      <c r="Y43" s="41"/>
      <c r="Z43" s="41"/>
      <c r="AA43" s="41"/>
      <c r="AB43" s="41"/>
      <c r="AC43" s="41"/>
      <c r="AD43" s="41"/>
      <c r="AE43" s="41"/>
      <c r="AF43" s="41"/>
      <c r="AG43" s="41"/>
      <c r="AH43" s="41"/>
      <c r="AI43" s="41"/>
      <c r="AJ43" s="41"/>
      <c r="AK43" s="41"/>
      <c r="AL43" s="41"/>
      <c r="AM43" s="41"/>
      <c r="AN43" s="41"/>
      <c r="AO43" s="41"/>
      <c r="AP43" s="41"/>
      <c r="AQ43" s="41"/>
      <c r="AR43" s="41"/>
      <c r="AS43" s="41"/>
      <c r="AT43" s="41"/>
      <c r="AU43" s="41"/>
      <c r="AV43" s="41"/>
      <c r="AW43" s="41"/>
      <c r="AX43" s="41"/>
      <c r="AY43" s="41"/>
      <c r="AZ43" s="41"/>
      <c r="BA43" s="41"/>
      <c r="BB43" s="41"/>
      <c r="BC43" s="41"/>
      <c r="BD43" s="41"/>
      <c r="BE43" s="41"/>
      <c r="BF43" s="41"/>
      <c r="BG43" s="41"/>
      <c r="BH43" s="41"/>
      <c r="BI43" s="41"/>
      <c r="BJ43" s="41"/>
      <c r="BK43" s="41"/>
      <c r="BL43" s="41"/>
    </row>
    <row r="44" spans="1:64" s="37" customFormat="1" ht="30" customHeight="1" thickBot="1" x14ac:dyDescent="0.3">
      <c r="A44" s="13"/>
      <c r="B44" s="114" t="s">
        <v>45</v>
      </c>
      <c r="C44" s="56" t="s">
        <v>25</v>
      </c>
      <c r="D44" s="57">
        <v>0</v>
      </c>
      <c r="E44" s="98"/>
      <c r="F44" s="98"/>
      <c r="G44" s="17"/>
      <c r="H44" s="5"/>
      <c r="I44" s="41"/>
      <c r="J44" s="41"/>
      <c r="K44" s="41"/>
      <c r="L44" s="41"/>
      <c r="M44" s="41"/>
      <c r="N44" s="41"/>
      <c r="O44" s="41"/>
      <c r="P44" s="41"/>
      <c r="Q44" s="41"/>
      <c r="R44" s="41"/>
      <c r="S44" s="41"/>
      <c r="T44" s="41"/>
      <c r="U44" s="41"/>
      <c r="V44" s="41"/>
      <c r="W44" s="41"/>
      <c r="X44" s="41"/>
      <c r="Y44" s="41"/>
      <c r="Z44" s="41"/>
      <c r="AA44" s="41"/>
      <c r="AB44" s="41"/>
      <c r="AC44" s="41"/>
      <c r="AD44" s="41"/>
      <c r="AE44" s="41"/>
      <c r="AF44" s="41"/>
      <c r="AG44" s="41"/>
      <c r="AH44" s="41"/>
      <c r="AI44" s="41"/>
      <c r="AJ44" s="41"/>
      <c r="AK44" s="41"/>
      <c r="AL44" s="41"/>
      <c r="AM44" s="41"/>
      <c r="AN44" s="41"/>
      <c r="AO44" s="41"/>
      <c r="AP44" s="41"/>
      <c r="AQ44" s="41"/>
      <c r="AR44" s="41"/>
      <c r="AS44" s="41"/>
      <c r="AT44" s="41"/>
      <c r="AU44" s="41"/>
      <c r="AV44" s="41"/>
      <c r="AW44" s="41"/>
      <c r="AX44" s="41"/>
      <c r="AY44" s="41"/>
      <c r="AZ44" s="41"/>
      <c r="BA44" s="41"/>
      <c r="BB44" s="41"/>
      <c r="BC44" s="41"/>
      <c r="BD44" s="41"/>
      <c r="BE44" s="41"/>
      <c r="BF44" s="41"/>
      <c r="BG44" s="41"/>
      <c r="BH44" s="41"/>
      <c r="BI44" s="41"/>
      <c r="BJ44" s="41"/>
      <c r="BK44" s="41"/>
      <c r="BL44" s="41"/>
    </row>
    <row r="45" spans="1:64" s="37" customFormat="1" ht="30" customHeight="1" thickBot="1" x14ac:dyDescent="0.3">
      <c r="A45" s="13"/>
      <c r="B45" s="114" t="s">
        <v>55</v>
      </c>
      <c r="C45" s="56" t="s">
        <v>25</v>
      </c>
      <c r="D45" s="57">
        <v>0</v>
      </c>
      <c r="E45" s="98"/>
      <c r="F45" s="98"/>
      <c r="G45" s="17"/>
      <c r="H45" s="5"/>
      <c r="I45" s="41"/>
      <c r="J45" s="41"/>
      <c r="K45" s="41"/>
      <c r="L45" s="41"/>
      <c r="M45" s="41"/>
      <c r="N45" s="41"/>
      <c r="O45" s="41"/>
      <c r="P45" s="41"/>
      <c r="Q45" s="41"/>
      <c r="R45" s="41"/>
      <c r="S45" s="41"/>
      <c r="T45" s="41"/>
      <c r="U45" s="41"/>
      <c r="V45" s="41"/>
      <c r="W45" s="41"/>
      <c r="X45" s="41"/>
      <c r="Y45" s="41"/>
      <c r="Z45" s="41"/>
      <c r="AA45" s="41"/>
      <c r="AB45" s="41"/>
      <c r="AC45" s="41"/>
      <c r="AD45" s="41"/>
      <c r="AE45" s="41"/>
      <c r="AF45" s="41"/>
      <c r="AG45" s="41"/>
      <c r="AH45" s="41"/>
      <c r="AI45" s="41"/>
      <c r="AJ45" s="41"/>
      <c r="AK45" s="41"/>
      <c r="AL45" s="41"/>
      <c r="AM45" s="41"/>
      <c r="AN45" s="41"/>
      <c r="AO45" s="41"/>
      <c r="AP45" s="41"/>
      <c r="AQ45" s="41"/>
      <c r="AR45" s="41"/>
      <c r="AS45" s="41"/>
      <c r="AT45" s="41"/>
      <c r="AU45" s="41"/>
      <c r="AV45" s="41"/>
      <c r="AW45" s="41"/>
      <c r="AX45" s="41"/>
      <c r="AY45" s="41"/>
      <c r="AZ45" s="41"/>
      <c r="BA45" s="41"/>
      <c r="BB45" s="41"/>
      <c r="BC45" s="41"/>
      <c r="BD45" s="41"/>
      <c r="BE45" s="41"/>
      <c r="BF45" s="41"/>
      <c r="BG45" s="41"/>
      <c r="BH45" s="41"/>
      <c r="BI45" s="41"/>
      <c r="BJ45" s="41"/>
      <c r="BK45" s="41"/>
      <c r="BL45" s="41"/>
    </row>
    <row r="46" spans="1:64" s="37" customFormat="1" ht="30" customHeight="1" thickBot="1" x14ac:dyDescent="0.3">
      <c r="A46" s="13"/>
      <c r="B46" s="110" t="s">
        <v>40</v>
      </c>
      <c r="C46" s="111" t="s">
        <v>35</v>
      </c>
      <c r="D46" s="112">
        <v>0</v>
      </c>
      <c r="E46" s="113"/>
      <c r="F46" s="113"/>
      <c r="G46" s="17"/>
      <c r="H46" s="5"/>
      <c r="I46" s="41"/>
      <c r="J46" s="41"/>
      <c r="K46" s="41"/>
      <c r="L46" s="41"/>
      <c r="M46" s="41"/>
      <c r="N46" s="41"/>
      <c r="O46" s="41"/>
      <c r="P46" s="41"/>
      <c r="Q46" s="41"/>
      <c r="R46" s="41"/>
      <c r="S46" s="41"/>
      <c r="T46" s="41"/>
      <c r="U46" s="41"/>
      <c r="V46" s="41"/>
      <c r="W46" s="41"/>
      <c r="X46" s="41"/>
      <c r="Y46" s="41"/>
      <c r="Z46" s="41"/>
      <c r="AA46" s="41"/>
      <c r="AB46" s="41"/>
      <c r="AC46" s="41"/>
      <c r="AD46" s="41"/>
      <c r="AE46" s="41"/>
      <c r="AF46" s="41"/>
      <c r="AG46" s="41"/>
      <c r="AH46" s="41"/>
      <c r="AI46" s="41"/>
      <c r="AJ46" s="41"/>
      <c r="AK46" s="41"/>
      <c r="AL46" s="41"/>
      <c r="AM46" s="41"/>
      <c r="AN46" s="41"/>
      <c r="AO46" s="41"/>
      <c r="AP46" s="41"/>
      <c r="AQ46" s="41"/>
      <c r="AR46" s="41"/>
      <c r="AS46" s="41"/>
      <c r="AT46" s="41"/>
      <c r="AU46" s="41"/>
      <c r="AV46" s="41"/>
      <c r="AW46" s="41"/>
      <c r="AX46" s="41"/>
      <c r="AY46" s="41"/>
      <c r="AZ46" s="41"/>
      <c r="BA46" s="41"/>
      <c r="BB46" s="41"/>
      <c r="BC46" s="41"/>
      <c r="BD46" s="41"/>
      <c r="BE46" s="41"/>
      <c r="BF46" s="41"/>
      <c r="BG46" s="41"/>
      <c r="BH46" s="41"/>
      <c r="BI46" s="41"/>
      <c r="BJ46" s="41"/>
      <c r="BK46" s="41"/>
      <c r="BL46" s="41"/>
    </row>
    <row r="47" spans="1:64" s="37" customFormat="1" ht="30" customHeight="1" thickBot="1" x14ac:dyDescent="0.3">
      <c r="A47" s="13"/>
      <c r="B47" s="109" t="s">
        <v>57</v>
      </c>
      <c r="C47" s="99"/>
      <c r="D47" s="100"/>
      <c r="E47" s="101"/>
      <c r="F47" s="101"/>
      <c r="G47" s="17"/>
      <c r="H47" s="5"/>
      <c r="I47" s="41"/>
      <c r="J47" s="41"/>
      <c r="K47" s="41"/>
      <c r="L47" s="41"/>
      <c r="M47" s="41"/>
      <c r="N47" s="41"/>
      <c r="O47" s="41"/>
      <c r="P47" s="41"/>
      <c r="Q47" s="41"/>
      <c r="R47" s="41"/>
      <c r="S47" s="41"/>
      <c r="T47" s="41"/>
      <c r="U47" s="41"/>
      <c r="V47" s="41"/>
      <c r="W47" s="41"/>
      <c r="X47" s="41"/>
      <c r="Y47" s="41"/>
      <c r="Z47" s="41"/>
      <c r="AA47" s="41"/>
      <c r="AB47" s="41"/>
      <c r="AC47" s="41"/>
      <c r="AD47" s="41"/>
      <c r="AE47" s="41"/>
      <c r="AF47" s="41"/>
      <c r="AG47" s="41"/>
      <c r="AH47" s="41"/>
      <c r="AI47" s="41"/>
      <c r="AJ47" s="41"/>
      <c r="AK47" s="41"/>
      <c r="AL47" s="41"/>
      <c r="AM47" s="41"/>
      <c r="AN47" s="41"/>
      <c r="AO47" s="41"/>
      <c r="AP47" s="41"/>
      <c r="AQ47" s="41"/>
      <c r="AR47" s="41"/>
      <c r="AS47" s="41"/>
      <c r="AT47" s="41"/>
      <c r="AU47" s="41"/>
      <c r="AV47" s="41"/>
      <c r="AW47" s="41"/>
      <c r="AX47" s="41"/>
      <c r="AY47" s="41"/>
      <c r="AZ47" s="41"/>
      <c r="BA47" s="41"/>
      <c r="BB47" s="41"/>
      <c r="BC47" s="41"/>
      <c r="BD47" s="41"/>
      <c r="BE47" s="41"/>
      <c r="BF47" s="41"/>
      <c r="BG47" s="41"/>
      <c r="BH47" s="41"/>
      <c r="BI47" s="41"/>
      <c r="BJ47" s="41"/>
      <c r="BK47" s="41"/>
      <c r="BL47" s="41"/>
    </row>
    <row r="48" spans="1:64" s="37" customFormat="1" ht="30" customHeight="1" thickBot="1" x14ac:dyDescent="0.3">
      <c r="A48" s="13"/>
      <c r="B48" s="105" t="s">
        <v>59</v>
      </c>
      <c r="C48" s="102" t="s">
        <v>25</v>
      </c>
      <c r="D48" s="103">
        <v>0</v>
      </c>
      <c r="E48" s="104"/>
      <c r="F48" s="104"/>
      <c r="G48" s="17"/>
      <c r="H48" s="5"/>
      <c r="I48" s="41"/>
      <c r="J48" s="41"/>
      <c r="K48" s="41"/>
      <c r="L48" s="41"/>
      <c r="M48" s="41"/>
      <c r="N48" s="41"/>
      <c r="O48" s="41"/>
      <c r="P48" s="41"/>
      <c r="Q48" s="41"/>
      <c r="R48" s="41"/>
      <c r="S48" s="41"/>
      <c r="T48" s="41"/>
      <c r="U48" s="41"/>
      <c r="V48" s="41"/>
      <c r="W48" s="41"/>
      <c r="X48" s="41"/>
      <c r="Y48" s="41"/>
      <c r="Z48" s="41"/>
      <c r="AA48" s="41"/>
      <c r="AB48" s="41"/>
      <c r="AC48" s="41"/>
      <c r="AD48" s="41"/>
      <c r="AE48" s="41"/>
      <c r="AF48" s="41"/>
      <c r="AG48" s="41"/>
      <c r="AH48" s="41"/>
      <c r="AI48" s="41"/>
      <c r="AJ48" s="41"/>
      <c r="AK48" s="41"/>
      <c r="AL48" s="41"/>
      <c r="AM48" s="41"/>
      <c r="AN48" s="41"/>
      <c r="AO48" s="41"/>
      <c r="AP48" s="41"/>
      <c r="AQ48" s="41"/>
      <c r="AR48" s="41"/>
      <c r="AS48" s="41"/>
      <c r="AT48" s="41"/>
      <c r="AU48" s="41"/>
      <c r="AV48" s="41"/>
      <c r="AW48" s="41"/>
      <c r="AX48" s="41"/>
      <c r="AY48" s="41"/>
      <c r="AZ48" s="41"/>
      <c r="BA48" s="41"/>
      <c r="BB48" s="41"/>
      <c r="BC48" s="41"/>
      <c r="BD48" s="41"/>
      <c r="BE48" s="41"/>
      <c r="BF48" s="41"/>
      <c r="BG48" s="41"/>
      <c r="BH48" s="41"/>
      <c r="BI48" s="41"/>
      <c r="BJ48" s="41"/>
      <c r="BK48" s="41"/>
      <c r="BL48" s="41"/>
    </row>
    <row r="49" spans="1:64" s="37" customFormat="1" ht="30" customHeight="1" thickBot="1" x14ac:dyDescent="0.3">
      <c r="A49" s="13"/>
      <c r="B49" s="105" t="s">
        <v>60</v>
      </c>
      <c r="C49" s="102" t="s">
        <v>25</v>
      </c>
      <c r="D49" s="107">
        <v>0</v>
      </c>
      <c r="E49" s="108"/>
      <c r="F49" s="108"/>
      <c r="G49" s="17"/>
      <c r="H49" s="5"/>
      <c r="I49" s="41"/>
      <c r="J49" s="41"/>
      <c r="K49" s="41"/>
      <c r="L49" s="41"/>
      <c r="M49" s="41"/>
      <c r="N49" s="41"/>
      <c r="O49" s="41"/>
      <c r="P49" s="41"/>
      <c r="Q49" s="41"/>
      <c r="R49" s="41"/>
      <c r="S49" s="41"/>
      <c r="T49" s="41"/>
      <c r="U49" s="41"/>
      <c r="V49" s="41"/>
      <c r="W49" s="41"/>
      <c r="X49" s="41"/>
      <c r="Y49" s="41"/>
      <c r="Z49" s="41"/>
      <c r="AA49" s="41"/>
      <c r="AB49" s="41"/>
      <c r="AC49" s="41"/>
      <c r="AD49" s="41"/>
      <c r="AE49" s="41"/>
      <c r="AF49" s="41"/>
      <c r="AG49" s="41"/>
      <c r="AH49" s="41"/>
      <c r="AI49" s="41"/>
      <c r="AJ49" s="41"/>
      <c r="AK49" s="41"/>
      <c r="AL49" s="41"/>
      <c r="AM49" s="41"/>
      <c r="AN49" s="41"/>
      <c r="AO49" s="41"/>
      <c r="AP49" s="41"/>
      <c r="AQ49" s="41"/>
      <c r="AR49" s="41"/>
      <c r="AS49" s="41"/>
      <c r="AT49" s="41"/>
      <c r="AU49" s="41"/>
      <c r="AV49" s="41"/>
      <c r="AW49" s="41"/>
      <c r="AX49" s="41"/>
      <c r="AY49" s="41"/>
      <c r="AZ49" s="41"/>
      <c r="BA49" s="41"/>
      <c r="BB49" s="41"/>
      <c r="BC49" s="41"/>
      <c r="BD49" s="41"/>
      <c r="BE49" s="41"/>
      <c r="BF49" s="41"/>
      <c r="BG49" s="41"/>
      <c r="BH49" s="41"/>
      <c r="BI49" s="41"/>
      <c r="BJ49" s="41"/>
      <c r="BK49" s="41"/>
      <c r="BL49" s="41"/>
    </row>
    <row r="50" spans="1:64" s="37" customFormat="1" ht="30" customHeight="1" thickBot="1" x14ac:dyDescent="0.3">
      <c r="A50" s="13"/>
      <c r="B50" s="105" t="s">
        <v>40</v>
      </c>
      <c r="C50" s="106" t="s">
        <v>35</v>
      </c>
      <c r="D50" s="107">
        <v>0</v>
      </c>
      <c r="E50" s="108"/>
      <c r="F50" s="108"/>
      <c r="G50" s="17"/>
      <c r="H50" s="5"/>
      <c r="I50" s="41"/>
      <c r="J50" s="41"/>
      <c r="K50" s="41"/>
      <c r="L50" s="41"/>
      <c r="M50" s="41"/>
      <c r="N50" s="41"/>
      <c r="O50" s="41"/>
      <c r="P50" s="41"/>
      <c r="Q50" s="41"/>
      <c r="R50" s="41"/>
      <c r="S50" s="41"/>
      <c r="T50" s="41"/>
      <c r="U50" s="41"/>
      <c r="V50" s="41"/>
      <c r="W50" s="41"/>
      <c r="X50" s="41"/>
      <c r="Y50" s="41"/>
      <c r="Z50" s="41"/>
      <c r="AA50" s="41"/>
      <c r="AB50" s="41"/>
      <c r="AC50" s="41"/>
      <c r="AD50" s="41"/>
      <c r="AE50" s="41"/>
      <c r="AF50" s="41"/>
      <c r="AG50" s="41"/>
      <c r="AH50" s="41"/>
      <c r="AI50" s="41"/>
      <c r="AJ50" s="41"/>
      <c r="AK50" s="41"/>
      <c r="AL50" s="41"/>
      <c r="AM50" s="41"/>
      <c r="AN50" s="41"/>
      <c r="AO50" s="41"/>
      <c r="AP50" s="41"/>
      <c r="AQ50" s="41"/>
      <c r="AR50" s="41"/>
      <c r="AS50" s="41"/>
      <c r="AT50" s="41"/>
      <c r="AU50" s="41"/>
      <c r="AV50" s="41"/>
      <c r="AW50" s="41"/>
      <c r="AX50" s="41"/>
      <c r="AY50" s="41"/>
      <c r="AZ50" s="41"/>
      <c r="BA50" s="41"/>
      <c r="BB50" s="41"/>
      <c r="BC50" s="41"/>
      <c r="BD50" s="41"/>
      <c r="BE50" s="41"/>
      <c r="BF50" s="41"/>
      <c r="BG50" s="41"/>
      <c r="BH50" s="41"/>
      <c r="BI50" s="41"/>
      <c r="BJ50" s="41"/>
      <c r="BK50" s="41"/>
      <c r="BL50" s="41"/>
    </row>
    <row r="51" spans="1:64" s="37" customFormat="1" ht="30" customHeight="1" thickBot="1" x14ac:dyDescent="0.3">
      <c r="A51" s="13"/>
      <c r="B51" s="51" t="s">
        <v>62</v>
      </c>
      <c r="C51" s="52"/>
      <c r="D51" s="53"/>
      <c r="E51" s="96"/>
      <c r="F51" s="97"/>
      <c r="G51" s="17"/>
      <c r="H51" s="5" t="str">
        <f t="shared" si="5"/>
        <v/>
      </c>
      <c r="I51" s="41"/>
      <c r="J51" s="41"/>
      <c r="K51" s="41"/>
      <c r="L51" s="41"/>
      <c r="M51" s="41"/>
      <c r="N51" s="41"/>
      <c r="O51" s="41"/>
      <c r="P51" s="41"/>
      <c r="Q51" s="41"/>
      <c r="R51" s="41"/>
      <c r="S51" s="41"/>
      <c r="T51" s="41"/>
      <c r="U51" s="41"/>
      <c r="V51" s="41"/>
      <c r="W51" s="41"/>
      <c r="X51" s="41"/>
      <c r="Y51" s="41"/>
      <c r="Z51" s="41"/>
      <c r="AA51" s="41"/>
      <c r="AB51" s="41"/>
      <c r="AC51" s="41"/>
      <c r="AD51" s="41"/>
      <c r="AE51" s="41"/>
      <c r="AF51" s="41"/>
      <c r="AG51" s="41"/>
      <c r="AH51" s="41"/>
      <c r="AI51" s="41"/>
      <c r="AJ51" s="41"/>
      <c r="AK51" s="41"/>
      <c r="AL51" s="41"/>
      <c r="AM51" s="41"/>
      <c r="AN51" s="41"/>
      <c r="AO51" s="41"/>
      <c r="AP51" s="41"/>
      <c r="AQ51" s="41"/>
      <c r="AR51" s="41"/>
      <c r="AS51" s="41"/>
      <c r="AT51" s="41"/>
      <c r="AU51" s="41"/>
      <c r="AV51" s="41"/>
      <c r="AW51" s="41"/>
      <c r="AX51" s="41"/>
      <c r="AY51" s="41"/>
      <c r="AZ51" s="41"/>
      <c r="BA51" s="41"/>
      <c r="BB51" s="41"/>
      <c r="BC51" s="41"/>
      <c r="BD51" s="41"/>
      <c r="BE51" s="41"/>
      <c r="BF51" s="41"/>
      <c r="BG51" s="41"/>
      <c r="BH51" s="41"/>
      <c r="BI51" s="41"/>
      <c r="BJ51" s="41"/>
      <c r="BK51" s="41"/>
      <c r="BL51" s="41"/>
    </row>
    <row r="52" spans="1:64" s="37" customFormat="1" ht="30" customHeight="1" thickBot="1" x14ac:dyDescent="0.3">
      <c r="A52" s="13"/>
      <c r="B52" s="114" t="s">
        <v>63</v>
      </c>
      <c r="C52" s="56" t="s">
        <v>25</v>
      </c>
      <c r="D52" s="57">
        <v>0</v>
      </c>
      <c r="E52" s="98"/>
      <c r="F52" s="98"/>
      <c r="G52" s="17"/>
      <c r="H52" s="5" t="str">
        <f t="shared" si="5"/>
        <v/>
      </c>
      <c r="I52" s="41"/>
      <c r="J52" s="41"/>
      <c r="K52" s="41"/>
      <c r="L52" s="41"/>
      <c r="M52" s="41"/>
      <c r="N52" s="41"/>
      <c r="O52" s="41"/>
      <c r="P52" s="41"/>
      <c r="Q52" s="41"/>
      <c r="R52" s="41"/>
      <c r="S52" s="41"/>
      <c r="T52" s="41"/>
      <c r="U52" s="41"/>
      <c r="V52" s="41"/>
      <c r="W52" s="41"/>
      <c r="X52" s="41"/>
      <c r="Y52" s="41"/>
      <c r="Z52" s="41"/>
      <c r="AA52" s="41"/>
      <c r="AB52" s="41"/>
      <c r="AC52" s="41"/>
      <c r="AD52" s="41"/>
      <c r="AE52" s="41"/>
      <c r="AF52" s="41"/>
      <c r="AG52" s="41"/>
      <c r="AH52" s="41"/>
      <c r="AI52" s="41"/>
      <c r="AJ52" s="41"/>
      <c r="AK52" s="41"/>
      <c r="AL52" s="41"/>
      <c r="AM52" s="41"/>
      <c r="AN52" s="41"/>
      <c r="AO52" s="41"/>
      <c r="AP52" s="41"/>
      <c r="AQ52" s="41"/>
      <c r="AR52" s="41"/>
      <c r="AS52" s="41"/>
      <c r="AT52" s="41"/>
      <c r="AU52" s="41"/>
      <c r="AV52" s="41"/>
      <c r="AW52" s="41"/>
      <c r="AX52" s="41"/>
      <c r="AY52" s="41"/>
      <c r="AZ52" s="41"/>
      <c r="BA52" s="41"/>
      <c r="BB52" s="41"/>
      <c r="BC52" s="41"/>
      <c r="BD52" s="41"/>
      <c r="BE52" s="41"/>
      <c r="BF52" s="41"/>
      <c r="BG52" s="41"/>
      <c r="BH52" s="41"/>
      <c r="BI52" s="41"/>
      <c r="BJ52" s="41"/>
      <c r="BK52" s="41"/>
      <c r="BL52" s="41"/>
    </row>
    <row r="53" spans="1:64" s="37" customFormat="1" ht="30" customHeight="1" thickBot="1" x14ac:dyDescent="0.3">
      <c r="A53" s="13"/>
      <c r="B53" s="114" t="s">
        <v>64</v>
      </c>
      <c r="C53" s="56" t="s">
        <v>25</v>
      </c>
      <c r="D53" s="57">
        <v>0</v>
      </c>
      <c r="E53" s="98"/>
      <c r="F53" s="98"/>
      <c r="G53" s="17"/>
      <c r="H53" s="5" t="str">
        <f t="shared" si="5"/>
        <v/>
      </c>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row>
    <row r="54" spans="1:64" s="37" customFormat="1" ht="30" customHeight="1" thickBot="1" x14ac:dyDescent="0.3">
      <c r="A54" s="13"/>
      <c r="B54" s="114" t="s">
        <v>64</v>
      </c>
      <c r="C54" s="56" t="s">
        <v>25</v>
      </c>
      <c r="D54" s="57">
        <v>0</v>
      </c>
      <c r="E54" s="98"/>
      <c r="F54" s="98"/>
      <c r="G54" s="17"/>
      <c r="H54" s="5" t="str">
        <f t="shared" si="5"/>
        <v/>
      </c>
      <c r="I54" s="41"/>
      <c r="J54" s="41"/>
      <c r="K54" s="41"/>
      <c r="L54" s="41"/>
      <c r="M54" s="41"/>
      <c r="N54" s="41"/>
      <c r="O54" s="41"/>
      <c r="P54" s="41"/>
      <c r="Q54" s="41"/>
      <c r="R54" s="41"/>
      <c r="S54" s="41"/>
      <c r="T54" s="41"/>
      <c r="U54" s="41"/>
      <c r="V54" s="41"/>
      <c r="W54" s="41"/>
      <c r="X54" s="41"/>
      <c r="Y54" s="41"/>
      <c r="Z54" s="41"/>
      <c r="AA54" s="41"/>
      <c r="AB54" s="41"/>
      <c r="AC54" s="41"/>
      <c r="AD54" s="41"/>
      <c r="AE54" s="41"/>
      <c r="AF54" s="41"/>
      <c r="AG54" s="41"/>
      <c r="AH54" s="41"/>
      <c r="AI54" s="41"/>
      <c r="AJ54" s="41"/>
      <c r="AK54" s="41"/>
      <c r="AL54" s="41"/>
      <c r="AM54" s="41"/>
      <c r="AN54" s="41"/>
      <c r="AO54" s="41"/>
      <c r="AP54" s="41"/>
      <c r="AQ54" s="41"/>
      <c r="AR54" s="41"/>
      <c r="AS54" s="41"/>
      <c r="AT54" s="41"/>
      <c r="AU54" s="41"/>
      <c r="AV54" s="41"/>
      <c r="AW54" s="41"/>
      <c r="AX54" s="41"/>
      <c r="AY54" s="41"/>
      <c r="AZ54" s="41"/>
      <c r="BA54" s="41"/>
      <c r="BB54" s="41"/>
      <c r="BC54" s="41"/>
      <c r="BD54" s="41"/>
      <c r="BE54" s="41"/>
      <c r="BF54" s="41"/>
      <c r="BG54" s="41"/>
      <c r="BH54" s="41"/>
      <c r="BI54" s="41"/>
      <c r="BJ54" s="41"/>
      <c r="BK54" s="41"/>
      <c r="BL54" s="41"/>
    </row>
    <row r="55" spans="1:64" s="37" customFormat="1" ht="30" customHeight="1" thickBot="1" x14ac:dyDescent="0.3">
      <c r="A55" s="13"/>
      <c r="B55" s="110" t="s">
        <v>40</v>
      </c>
      <c r="C55" s="111" t="s">
        <v>35</v>
      </c>
      <c r="D55" s="112">
        <v>0</v>
      </c>
      <c r="E55" s="113"/>
      <c r="F55" s="113"/>
      <c r="G55" s="17"/>
      <c r="H55" s="5" t="str">
        <f t="shared" si="5"/>
        <v/>
      </c>
      <c r="I55" s="41"/>
      <c r="J55" s="41"/>
      <c r="K55" s="41"/>
      <c r="L55" s="41"/>
      <c r="M55" s="41"/>
      <c r="N55" s="41"/>
      <c r="O55" s="41"/>
      <c r="P55" s="41"/>
      <c r="Q55" s="41"/>
      <c r="R55" s="41"/>
      <c r="S55" s="41"/>
      <c r="T55" s="41"/>
      <c r="U55" s="41"/>
      <c r="V55" s="41"/>
      <c r="W55" s="41"/>
      <c r="X55" s="41"/>
      <c r="Y55" s="41"/>
      <c r="Z55" s="41"/>
      <c r="AA55" s="41"/>
      <c r="AB55" s="41"/>
      <c r="AC55" s="41"/>
      <c r="AD55" s="41"/>
      <c r="AE55" s="41"/>
      <c r="AF55" s="41"/>
      <c r="AG55" s="41"/>
      <c r="AH55" s="41"/>
      <c r="AI55" s="41"/>
      <c r="AJ55" s="41"/>
      <c r="AK55" s="41"/>
      <c r="AL55" s="41"/>
      <c r="AM55" s="41"/>
      <c r="AN55" s="41"/>
      <c r="AO55" s="41"/>
      <c r="AP55" s="41"/>
      <c r="AQ55" s="41"/>
      <c r="AR55" s="41"/>
      <c r="AS55" s="41"/>
      <c r="AT55" s="41"/>
      <c r="AU55" s="41"/>
      <c r="AV55" s="41"/>
      <c r="AW55" s="41"/>
      <c r="AX55" s="41"/>
      <c r="AY55" s="41"/>
      <c r="AZ55" s="41"/>
      <c r="BA55" s="41"/>
      <c r="BB55" s="41"/>
      <c r="BC55" s="41"/>
      <c r="BD55" s="41"/>
      <c r="BE55" s="41"/>
      <c r="BF55" s="41"/>
      <c r="BG55" s="41"/>
      <c r="BH55" s="41"/>
      <c r="BI55" s="41"/>
      <c r="BJ55" s="41"/>
      <c r="BK55" s="41"/>
      <c r="BL55" s="41"/>
    </row>
    <row r="56" spans="1:64" s="37" customFormat="1" ht="30" customHeight="1" thickBot="1" x14ac:dyDescent="0.3">
      <c r="A56" s="13"/>
      <c r="B56" s="109" t="s">
        <v>65</v>
      </c>
      <c r="C56" s="99"/>
      <c r="D56" s="100"/>
      <c r="E56" s="101"/>
      <c r="F56" s="101"/>
      <c r="G56" s="17"/>
      <c r="H56" s="5"/>
      <c r="I56" s="41"/>
      <c r="J56" s="41"/>
      <c r="K56" s="41"/>
      <c r="L56" s="41"/>
      <c r="M56" s="41"/>
      <c r="N56" s="41"/>
      <c r="O56" s="41"/>
      <c r="P56" s="41"/>
      <c r="Q56" s="41"/>
      <c r="R56" s="41"/>
      <c r="S56" s="41"/>
      <c r="T56" s="41"/>
      <c r="U56" s="41"/>
      <c r="V56" s="41"/>
      <c r="W56" s="41"/>
      <c r="X56" s="41"/>
      <c r="Y56" s="41"/>
      <c r="Z56" s="41"/>
      <c r="AA56" s="41"/>
      <c r="AB56" s="41"/>
      <c r="AC56" s="41"/>
      <c r="AD56" s="41"/>
      <c r="AE56" s="41"/>
      <c r="AF56" s="41"/>
      <c r="AG56" s="41"/>
      <c r="AH56" s="41"/>
      <c r="AI56" s="41"/>
      <c r="AJ56" s="41"/>
      <c r="AK56" s="41"/>
      <c r="AL56" s="41"/>
      <c r="AM56" s="41"/>
      <c r="AN56" s="41"/>
      <c r="AO56" s="41"/>
      <c r="AP56" s="41"/>
      <c r="AQ56" s="41"/>
      <c r="AR56" s="41"/>
      <c r="AS56" s="41"/>
      <c r="AT56" s="41"/>
      <c r="AU56" s="41"/>
      <c r="AV56" s="41"/>
      <c r="AW56" s="41"/>
      <c r="AX56" s="41"/>
      <c r="AY56" s="41"/>
      <c r="AZ56" s="41"/>
      <c r="BA56" s="41"/>
      <c r="BB56" s="41"/>
      <c r="BC56" s="41"/>
      <c r="BD56" s="41"/>
      <c r="BE56" s="41"/>
      <c r="BF56" s="41"/>
      <c r="BG56" s="41"/>
      <c r="BH56" s="41"/>
      <c r="BI56" s="41"/>
      <c r="BJ56" s="41"/>
      <c r="BK56" s="41"/>
      <c r="BL56" s="41"/>
    </row>
    <row r="57" spans="1:64" s="37" customFormat="1" ht="30" customHeight="1" thickBot="1" x14ac:dyDescent="0.3">
      <c r="A57" s="13"/>
      <c r="B57" s="59"/>
      <c r="C57" s="60"/>
      <c r="D57" s="61"/>
      <c r="E57" s="62"/>
      <c r="F57" s="62"/>
      <c r="G57" s="17"/>
      <c r="H57" s="5" t="str">
        <f t="shared" si="5"/>
        <v/>
      </c>
      <c r="I57" s="36"/>
      <c r="J57" s="36"/>
      <c r="K57" s="36"/>
      <c r="L57" s="36"/>
      <c r="M57" s="36"/>
      <c r="N57" s="36"/>
      <c r="O57" s="36"/>
      <c r="P57" s="36"/>
      <c r="Q57" s="36"/>
      <c r="R57" s="36"/>
      <c r="S57" s="36"/>
      <c r="T57" s="36"/>
      <c r="U57" s="36"/>
      <c r="V57" s="36"/>
      <c r="W57" s="36"/>
      <c r="X57" s="36"/>
      <c r="Y57" s="36"/>
      <c r="Z57" s="36"/>
      <c r="AA57" s="36"/>
      <c r="AB57" s="36"/>
      <c r="AC57" s="36"/>
      <c r="AD57" s="36"/>
      <c r="AE57" s="36"/>
      <c r="AF57" s="36"/>
      <c r="AG57" s="36"/>
      <c r="AH57" s="36"/>
      <c r="AI57" s="36"/>
      <c r="AJ57" s="36"/>
      <c r="AK57" s="36"/>
      <c r="AL57" s="36"/>
      <c r="AM57" s="36"/>
      <c r="AN57" s="36"/>
      <c r="AO57" s="36"/>
      <c r="AP57" s="36"/>
      <c r="AQ57" s="36"/>
      <c r="AR57" s="36"/>
      <c r="AS57" s="36"/>
      <c r="AT57" s="36"/>
      <c r="AU57" s="36"/>
      <c r="AV57" s="36"/>
      <c r="AW57" s="36"/>
      <c r="AX57" s="36"/>
      <c r="AY57" s="36"/>
      <c r="AZ57" s="36"/>
      <c r="BA57" s="36"/>
      <c r="BB57" s="36"/>
      <c r="BC57" s="36"/>
      <c r="BD57" s="36"/>
      <c r="BE57" s="36"/>
      <c r="BF57" s="36"/>
      <c r="BG57" s="36"/>
      <c r="BH57" s="36"/>
      <c r="BI57" s="36"/>
      <c r="BJ57" s="36"/>
      <c r="BK57" s="36"/>
      <c r="BL57" s="36"/>
    </row>
    <row r="58" spans="1:64" s="37" customFormat="1" ht="30" customHeight="1" thickBot="1" x14ac:dyDescent="0.3">
      <c r="A58" s="14"/>
      <c r="B58" s="63" t="s">
        <v>8</v>
      </c>
      <c r="C58" s="64"/>
      <c r="D58" s="65"/>
      <c r="E58" s="66"/>
      <c r="F58" s="67"/>
      <c r="G58" s="17"/>
      <c r="H58" s="6" t="str">
        <f t="shared" si="5"/>
        <v/>
      </c>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c r="AW58" s="68"/>
      <c r="AX58" s="68"/>
      <c r="AY58" s="68"/>
      <c r="AZ58" s="68"/>
      <c r="BA58" s="68"/>
      <c r="BB58" s="68"/>
      <c r="BC58" s="68"/>
      <c r="BD58" s="68"/>
      <c r="BE58" s="68"/>
      <c r="BF58" s="68"/>
      <c r="BG58" s="68"/>
      <c r="BH58" s="68"/>
      <c r="BI58" s="68"/>
      <c r="BJ58" s="68"/>
      <c r="BK58" s="68"/>
      <c r="BL58" s="68"/>
    </row>
    <row r="59" spans="1:64" ht="30" customHeight="1" x14ac:dyDescent="0.25">
      <c r="G59" s="3"/>
    </row>
    <row r="60" spans="1:64" ht="30" customHeight="1" x14ac:dyDescent="0.25">
      <c r="C60" s="16"/>
      <c r="F60" s="15"/>
    </row>
    <row r="61" spans="1:64" ht="30" customHeight="1" x14ac:dyDescent="0.25">
      <c r="C61" s="4"/>
    </row>
  </sheetData>
  <mergeCells count="22">
    <mergeCell ref="AC1:AI1"/>
    <mergeCell ref="AK1:AT1"/>
    <mergeCell ref="A5:A6"/>
    <mergeCell ref="B5:B6"/>
    <mergeCell ref="C5:C6"/>
    <mergeCell ref="D5:D6"/>
    <mergeCell ref="E5:E6"/>
    <mergeCell ref="F5:F6"/>
    <mergeCell ref="Q2:Z2"/>
    <mergeCell ref="Q1:Z1"/>
    <mergeCell ref="I1:O1"/>
    <mergeCell ref="I2:O2"/>
    <mergeCell ref="B1:F1"/>
    <mergeCell ref="D2:E2"/>
    <mergeCell ref="BF4:BL4"/>
    <mergeCell ref="I4:O4"/>
    <mergeCell ref="P4:V4"/>
    <mergeCell ref="W4:AC4"/>
    <mergeCell ref="AD4:AJ4"/>
    <mergeCell ref="AK4:AQ4"/>
    <mergeCell ref="AR4:AX4"/>
    <mergeCell ref="AY4:BE4"/>
  </mergeCells>
  <conditionalFormatting sqref="D7:D58">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56">
    <cfRule type="expression" dxfId="8" priority="1">
      <formula>AND(TODAY()&gt;=I$5, TODAY()&lt;J$5)</formula>
    </cfRule>
  </conditionalFormatting>
  <conditionalFormatting sqref="I9:BL12">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4:BL32">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34:BL52">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54:BL56">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3" xr:uid="{4F48FC41-E335-47F1-87AA-3333A52AD81C}"/>
    <dataValidation allowBlank="1" showInputMessage="1" showErrorMessage="1" prompt="Phase 3's sample block starts in cell B20." sqref="A33" xr:uid="{956902D1-D3B5-416D-BB69-9362D193BC0A}"/>
    <dataValidation allowBlank="1" showInputMessage="1" showErrorMessage="1" prompt="Phase 4's sample block starts in cell B26." sqref="A53"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58" xr:uid="{79B9237E-4DD3-4E0F-8ED6-E0B695A99D96}"/>
  </dataValidations>
  <printOptions horizontalCentered="1"/>
  <pageMargins left="0.35" right="0.35" top="0.35" bottom="0.5" header="0.3" footer="0.3"/>
  <pageSetup paperSize="9" scale="35" fitToHeight="0" orientation="portrait"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D7:D58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2" x14ac:dyDescent="0.25"/>
  <cols>
    <col min="1" max="1" width="87" style="7" customWidth="1"/>
    <col min="2" max="16384" width="9" style="1"/>
  </cols>
  <sheetData>
    <row r="1" spans="1:2" ht="46.5" customHeight="1" x14ac:dyDescent="0.25"/>
    <row r="2" spans="1:2" s="9" customFormat="1" ht="15.6" x14ac:dyDescent="0.25">
      <c r="A2" s="69" t="s">
        <v>9</v>
      </c>
      <c r="B2" s="8"/>
    </row>
    <row r="3" spans="1:2" s="11" customFormat="1" ht="27" customHeight="1" x14ac:dyDescent="0.25">
      <c r="A3" s="70"/>
      <c r="B3" s="12"/>
    </row>
    <row r="4" spans="1:2" s="10" customFormat="1" ht="30" x14ac:dyDescent="0.7">
      <c r="A4" s="71" t="s">
        <v>10</v>
      </c>
    </row>
    <row r="5" spans="1:2" ht="74.25" customHeight="1" x14ac:dyDescent="0.25">
      <c r="A5" s="72" t="s">
        <v>11</v>
      </c>
    </row>
    <row r="6" spans="1:2" ht="26.25" customHeight="1" x14ac:dyDescent="0.25">
      <c r="A6" s="71" t="s">
        <v>12</v>
      </c>
    </row>
    <row r="7" spans="1:2" s="7" customFormat="1" ht="205.2" customHeight="1" x14ac:dyDescent="0.25">
      <c r="A7" s="73" t="s">
        <v>13</v>
      </c>
    </row>
    <row r="8" spans="1:2" s="10" customFormat="1" ht="30" x14ac:dyDescent="0.7">
      <c r="A8" s="71" t="s">
        <v>14</v>
      </c>
    </row>
    <row r="9" spans="1:2" ht="41.4" x14ac:dyDescent="0.25">
      <c r="A9" s="72" t="s">
        <v>15</v>
      </c>
    </row>
    <row r="10" spans="1:2" s="7" customFormat="1" ht="28.2" customHeight="1" x14ac:dyDescent="0.25">
      <c r="A10" s="74" t="s">
        <v>16</v>
      </c>
    </row>
    <row r="11" spans="1:2" s="10" customFormat="1" ht="30" x14ac:dyDescent="0.7">
      <c r="A11" s="71" t="s">
        <v>17</v>
      </c>
    </row>
    <row r="12" spans="1:2" ht="27.6" x14ac:dyDescent="0.25">
      <c r="A12" s="72" t="s">
        <v>18</v>
      </c>
    </row>
    <row r="13" spans="1:2" s="7" customFormat="1" ht="28.2" customHeight="1" x14ac:dyDescent="0.25">
      <c r="A13" s="74" t="s">
        <v>19</v>
      </c>
    </row>
    <row r="14" spans="1:2" s="10" customFormat="1" ht="30" x14ac:dyDescent="0.7">
      <c r="A14" s="71" t="s">
        <v>20</v>
      </c>
    </row>
    <row r="15" spans="1:2" ht="75" customHeight="1" x14ac:dyDescent="0.25">
      <c r="A15" s="72" t="s">
        <v>21</v>
      </c>
    </row>
    <row r="16" spans="1:2" ht="69" x14ac:dyDescent="0.25">
      <c r="A16" s="72" t="s">
        <v>22</v>
      </c>
    </row>
    <row r="17" spans="1:1" x14ac:dyDescent="0.25">
      <c r="A17" s="75"/>
    </row>
    <row r="18" spans="1:1" x14ac:dyDescent="0.25">
      <c r="A18" s="75"/>
    </row>
    <row r="19" spans="1:1" x14ac:dyDescent="0.25">
      <c r="A19" s="75"/>
    </row>
    <row r="20" spans="1:1" x14ac:dyDescent="0.25">
      <c r="A20" s="75"/>
    </row>
    <row r="21" spans="1:1" x14ac:dyDescent="0.25">
      <c r="A21" s="75"/>
    </row>
    <row r="22" spans="1:1" x14ac:dyDescent="0.25">
      <c r="A22" s="75"/>
    </row>
    <row r="23" spans="1:1" x14ac:dyDescent="0.25">
      <c r="A23" s="75"/>
    </row>
    <row r="24" spans="1:1" x14ac:dyDescent="0.25">
      <c r="A24" s="7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82239A0-E68C-493F-BEE6-C77FEA397FD6}">
  <ds:schemaRefs>
    <ds:schemaRef ds:uri="http://schemas.microsoft.com/office/2006/documentManagement/types"/>
    <ds:schemaRef ds:uri="http://purl.org/dc/terms/"/>
    <ds:schemaRef ds:uri="71af3243-3dd4-4a8d-8c0d-dd76da1f02a5"/>
    <ds:schemaRef ds:uri="http://schemas.microsoft.com/office/2006/metadata/properties"/>
    <ds:schemaRef ds:uri="http://purl.org/dc/dcmitype/"/>
    <ds:schemaRef ds:uri="16c05727-aa75-4e4a-9b5f-8a80a1165891"/>
    <ds:schemaRef ds:uri="http://schemas.microsoft.com/office/infopath/2007/PartnerControls"/>
    <ds:schemaRef ds:uri="http://www.w3.org/XML/1998/namespace"/>
    <ds:schemaRef ds:uri="230e9df3-be65-4c73-a93b-d1236ebd677e"/>
    <ds:schemaRef ds:uri="http://schemas.openxmlformats.org/package/2006/metadata/core-properties"/>
    <ds:schemaRef ds:uri="http://schemas.microsoft.com/sharepoint/v3"/>
    <ds:schemaRef ds:uri="http://purl.org/dc/elements/1.1/"/>
  </ds:schemaRefs>
</ds:datastoreItem>
</file>

<file path=customXml/itemProps3.xml><?xml version="1.0" encoding="utf-8"?>
<ds:datastoreItem xmlns:ds="http://schemas.openxmlformats.org/officeDocument/2006/customXml" ds:itemID="{C2348D59-3426-404A-A0C5-6456F6613ED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Folhas de Cálculo</vt:lpstr>
      </vt:variant>
      <vt:variant>
        <vt:i4>2</vt:i4>
      </vt:variant>
      <vt:variant>
        <vt:lpstr>Intervalos com Nome</vt:lpstr>
      </vt:variant>
      <vt:variant>
        <vt:i4>7</vt:i4>
      </vt:variant>
    </vt:vector>
  </HeadingPairs>
  <TitlesOfParts>
    <vt:vector size="9" baseType="lpstr">
      <vt:lpstr>Project schedule</vt:lpstr>
      <vt:lpstr>About</vt:lpstr>
      <vt:lpstr>'Project schedule'!Área_de_Impressão</vt:lpstr>
      <vt:lpstr>Display_Week</vt:lpstr>
      <vt:lpstr>Project_Start</vt:lpstr>
      <vt:lpstr>'Project schedule'!task_end</vt:lpstr>
      <vt:lpstr>'Project schedule'!task_progress</vt:lpstr>
      <vt:lpstr>'Project schedule'!task_start</vt:lpstr>
      <vt:lpstr>'Project schedule'!Títulos_de_Impressão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Laercio Santos</dc:creator>
  <cp:keywords/>
  <dc:description/>
  <cp:lastModifiedBy>Laércio Santos</cp:lastModifiedBy>
  <cp:revision/>
  <cp:lastPrinted>2025-11-25T04:11:09Z</cp:lastPrinted>
  <dcterms:created xsi:type="dcterms:W3CDTF">2022-03-11T22:41:12Z</dcterms:created>
  <dcterms:modified xsi:type="dcterms:W3CDTF">2025-11-25T04:12:34Z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