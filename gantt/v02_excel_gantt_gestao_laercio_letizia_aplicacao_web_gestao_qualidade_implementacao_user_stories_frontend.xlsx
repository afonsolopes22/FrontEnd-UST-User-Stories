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ULHT\Engenharia Informática\3 Ano\TFC\entrega_1\gantt\"/>
    </mc:Choice>
  </mc:AlternateContent>
  <xr:revisionPtr revIDLastSave="0" documentId="13_ncr:1_{86FC982D-2FAB-4864-A414-B1D41D66ADB5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Gantt Chart w % Complete" sheetId="1" r:id="rId1"/>
  </sheets>
  <definedNames>
    <definedName name="_xlnm.Print_Area" localSheetId="0">'Gantt Chart w % Complete'!$A$1:$AD$38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F10" i="1"/>
  <c r="G10" i="1" s="1"/>
  <c r="F16" i="1"/>
  <c r="G16" i="1" s="1"/>
  <c r="F20" i="1"/>
  <c r="G20" i="1" s="1"/>
  <c r="F25" i="1"/>
  <c r="G25" i="1" s="1"/>
  <c r="D25" i="1" l="1"/>
  <c r="D16" i="1"/>
  <c r="H25" i="1" l="1"/>
  <c r="H16" i="1"/>
  <c r="H10" i="1" l="1"/>
  <c r="H20" i="1"/>
  <c r="H5" i="1"/>
  <c r="D20" i="1" l="1"/>
  <c r="D10" i="1"/>
  <c r="D5" i="1"/>
</calcChain>
</file>

<file path=xl/sharedStrings.xml><?xml version="1.0" encoding="utf-8"?>
<sst xmlns="http://schemas.openxmlformats.org/spreadsheetml/2006/main" count="23" uniqueCount="19">
  <si>
    <t>TASK NAME</t>
  </si>
  <si>
    <t>START DATE</t>
  </si>
  <si>
    <t>END DATE</t>
  </si>
  <si>
    <t>TEAM MEMBER</t>
  </si>
  <si>
    <t>PERCENT COMPLETE</t>
  </si>
  <si>
    <t>DURATION* (WORK DAYS)</t>
  </si>
  <si>
    <t>DAY OF MONTH*</t>
  </si>
  <si>
    <t>DAYS COMPLETE*</t>
  </si>
  <si>
    <t>DAYS REMAINING*</t>
  </si>
  <si>
    <t>MVP - E1M1: Validador de código associado a User Story</t>
  </si>
  <si>
    <t>Feature - E1M1F1: Autenticação OAuth Github</t>
  </si>
  <si>
    <t>E1M1F1U1</t>
  </si>
  <si>
    <t>E1M1F1U2</t>
  </si>
  <si>
    <t>E1M1F2U1</t>
  </si>
  <si>
    <t>Feature - E1M1F2: Submissão de User Story para análise e feedback</t>
  </si>
  <si>
    <t>Feature - E1M1F3: Histórico de atividades</t>
  </si>
  <si>
    <t>E1M1F2U2</t>
  </si>
  <si>
    <t>E1M1F3U1</t>
  </si>
  <si>
    <t>Laércio &amp; Letizia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</si>
</sst>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FFFFFF"/>
      <name val="Calibri"/>
      <family val="2"/>
    </font>
    <font>
      <b/>
      <sz val="11"/>
      <color rgb="FF666666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sz val="11"/>
      <color rgb="FF434343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</font>
    <font>
      <u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ADEE"/>
        <bgColor rgb="FF00ADEE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FD1CD"/>
        <bgColor rgb="FF7FD1CD"/>
      </patternFill>
    </fill>
    <fill>
      <patternFill patternType="solid">
        <fgColor rgb="FF57BB8A"/>
        <bgColor rgb="FF57BB8A"/>
      </patternFill>
    </fill>
    <fill>
      <patternFill patternType="solid">
        <fgColor rgb="FFF3F3F3"/>
        <bgColor rgb="FFF3F3F3"/>
      </patternFill>
    </fill>
    <fill>
      <patternFill patternType="solid">
        <fgColor rgb="FFDBF1E6"/>
        <bgColor rgb="FFDBF1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5" fillId="4" borderId="0" xfId="0" applyFont="1" applyFill="1"/>
    <xf numFmtId="0" fontId="3" fillId="0" borderId="0" xfId="0" applyFont="1" applyAlignment="1">
      <alignment horizontal="center"/>
    </xf>
    <xf numFmtId="0" fontId="4" fillId="4" borderId="0" xfId="0" applyFont="1" applyFill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6" fillId="0" borderId="0" xfId="0" applyFont="1" applyAlignment="1">
      <alignment wrapText="1"/>
    </xf>
    <xf numFmtId="0" fontId="6" fillId="7" borderId="0" xfId="0" applyFont="1" applyFill="1" applyAlignment="1">
      <alignment horizontal="center" wrapText="1"/>
    </xf>
    <xf numFmtId="9" fontId="6" fillId="5" borderId="0" xfId="0" applyNumberFormat="1" applyFont="1" applyFill="1" applyAlignment="1">
      <alignment horizontal="center" wrapText="1"/>
    </xf>
    <xf numFmtId="0" fontId="7" fillId="7" borderId="0" xfId="0" applyFont="1" applyFill="1" applyAlignment="1">
      <alignment horizontal="center"/>
    </xf>
    <xf numFmtId="9" fontId="6" fillId="6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9" fontId="6" fillId="8" borderId="0" xfId="0" applyNumberFormat="1" applyFont="1" applyFill="1" applyAlignment="1">
      <alignment horizontal="center" wrapText="1"/>
    </xf>
    <xf numFmtId="1" fontId="6" fillId="7" borderId="0" xfId="0" applyNumberFormat="1" applyFont="1" applyFill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0" fontId="8" fillId="0" borderId="0" xfId="1" applyAlignment="1">
      <alignment wrapText="1"/>
    </xf>
    <xf numFmtId="0" fontId="8" fillId="4" borderId="0" xfId="1" applyFill="1"/>
    <xf numFmtId="0" fontId="8" fillId="4" borderId="0" xfId="1" applyFill="1" applyAlignment="1">
      <alignment horizontal="left"/>
    </xf>
    <xf numFmtId="0" fontId="9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colors>
    <mruColors>
      <color rgb="FF33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728104</xdr:colOff>
      <xdr:row>0</xdr:row>
      <xdr:rowOff>17930</xdr:rowOff>
    </xdr:from>
    <xdr:to>
      <xdr:col>30</xdr:col>
      <xdr:colOff>52551</xdr:colOff>
      <xdr:row>19</xdr:row>
      <xdr:rowOff>93301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A0614D-F23C-A4D6-61BC-92AC2B7C6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8311" y="17930"/>
          <a:ext cx="6602861" cy="3677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ello.com/c/8T4vtsRl/29-e1m1f2u2-como-utilizador-quero-que-a-resposta-d%C3%AA-acesso-a-duas-percentagens-compatibilidade-com-user-story-e-boas-pr%C3%A1ticas-para" TargetMode="External"/><Relationship Id="rId3" Type="http://schemas.openxmlformats.org/officeDocument/2006/relationships/hyperlink" Target="https://trello.com/c/7ruIBQ1n/18-e1m1f1-autentica%C3%A7%C3%A3o-oauth-github" TargetMode="External"/><Relationship Id="rId7" Type="http://schemas.openxmlformats.org/officeDocument/2006/relationships/hyperlink" Target="https://trello.com/c/MQonS7Ll/23-e1m1f2u1-como-utilizador-quero-pesquisar-e-selecionar-uma-user-story-para-submeter-e-receber-feedback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trello.com/c/BYkxYEuU/17-e1m1-validador-de-c%C3%B3digo-associado-a-user-story" TargetMode="External"/><Relationship Id="rId1" Type="http://schemas.openxmlformats.org/officeDocument/2006/relationships/hyperlink" Target="https://trello.com/c/KKjy7XU7/21-e1m1f1u1-como-utilizador-quero-me-autenticar-pelo-github-para-ter-acesso-a-p%C3%A1gina-input-e-gerenciar-o-acesso-aos-meus-reposit%C3%B3ri" TargetMode="External"/><Relationship Id="rId6" Type="http://schemas.openxmlformats.org/officeDocument/2006/relationships/hyperlink" Target="https://trello.com/c/3i2WSwBb/22-e1m1f1u2-como-utilizador-quero-aceder-a-um-pop-up-de-autentica%C3%A7%C3%A3o-da-minha-conta-para-dar-autoriza%C3%A7%C3%A3o-aos-meus-reposit%C3%B3rios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trello.com/c/hi2SjMcZ/20-e1m1f3-hist%C3%B3rico-de-atividade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trello.com/c/sFo6ogAi/19-e1m1f2-submiss%C3%A3o-de-user-story-para-an%C3%A1lise-e-feedback" TargetMode="External"/><Relationship Id="rId9" Type="http://schemas.openxmlformats.org/officeDocument/2006/relationships/hyperlink" Target="https://trello.com/c/MWWzBmfm/24-e1m1f3u1-como-utilizador-quero-ver-o-hist%C3%B3rico-de-atividades-para-saber-o-que-tenho-fei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J49"/>
  <sheetViews>
    <sheetView showGridLines="0" tabSelected="1" topLeftCell="A4" zoomScale="87" zoomScaleNormal="71" workbookViewId="0">
      <selection activeCell="B22" sqref="B22"/>
    </sheetView>
  </sheetViews>
  <sheetFormatPr defaultColWidth="14.42578125" defaultRowHeight="15.75" customHeight="1" x14ac:dyDescent="0.2"/>
  <cols>
    <col min="1" max="1" width="2.7109375" customWidth="1"/>
    <col min="2" max="2" width="38.28515625" customWidth="1"/>
    <col min="3" max="8" width="12.28515625" customWidth="1"/>
    <col min="9" max="9" width="17.5703125" customWidth="1"/>
    <col min="10" max="10" width="10.7109375" customWidth="1"/>
    <col min="11" max="12" width="7.28515625" customWidth="1"/>
    <col min="13" max="14" width="3.7109375" customWidth="1"/>
    <col min="15" max="15" width="6.42578125" customWidth="1"/>
    <col min="16" max="34" width="4.42578125" customWidth="1"/>
    <col min="35" max="36" width="7.28515625" customWidth="1"/>
  </cols>
  <sheetData>
    <row r="1" spans="1:36" ht="15" x14ac:dyDescent="0.25">
      <c r="A1" s="21"/>
      <c r="B1" s="21" t="s">
        <v>0</v>
      </c>
      <c r="C1" s="21" t="s">
        <v>1</v>
      </c>
      <c r="D1" s="21" t="s">
        <v>6</v>
      </c>
      <c r="E1" s="21" t="s">
        <v>2</v>
      </c>
      <c r="F1" s="21" t="s">
        <v>5</v>
      </c>
      <c r="G1" s="21" t="s">
        <v>7</v>
      </c>
      <c r="H1" s="21" t="s">
        <v>8</v>
      </c>
      <c r="I1" s="21" t="s">
        <v>3</v>
      </c>
      <c r="J1" s="21" t="s">
        <v>4</v>
      </c>
      <c r="K1" s="24"/>
      <c r="L1" s="22"/>
      <c r="M1" s="22"/>
      <c r="N1" s="22"/>
      <c r="O1" s="22"/>
      <c r="P1" s="24"/>
      <c r="Q1" s="22"/>
      <c r="R1" s="22"/>
      <c r="S1" s="22"/>
      <c r="T1" s="22"/>
      <c r="U1" s="23"/>
      <c r="V1" s="22"/>
      <c r="W1" s="22"/>
      <c r="X1" s="22"/>
      <c r="Y1" s="22"/>
      <c r="Z1" s="24"/>
      <c r="AA1" s="22"/>
      <c r="AB1" s="22"/>
      <c r="AC1" s="22"/>
      <c r="AD1" s="22"/>
      <c r="AE1" s="23"/>
      <c r="AF1" s="22"/>
      <c r="AG1" s="22"/>
      <c r="AH1" s="22"/>
      <c r="AI1" s="22"/>
      <c r="AJ1" s="3"/>
    </row>
    <row r="2" spans="1:36" ht="15" x14ac:dyDescent="0.25">
      <c r="A2" s="22"/>
      <c r="B2" s="22"/>
      <c r="C2" s="22"/>
      <c r="D2" s="22"/>
      <c r="E2" s="22"/>
      <c r="F2" s="21"/>
      <c r="G2" s="21"/>
      <c r="H2" s="22"/>
      <c r="I2" s="22"/>
      <c r="J2" s="2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5">
      <c r="A3" s="4"/>
      <c r="B3" s="18" t="s">
        <v>9</v>
      </c>
      <c r="C3" s="2"/>
      <c r="D3" s="2"/>
      <c r="E3" s="2"/>
      <c r="F3" s="2"/>
      <c r="G3" s="2"/>
      <c r="H3" s="2"/>
      <c r="I3" s="2"/>
      <c r="J3" s="2"/>
      <c r="K3" s="5"/>
      <c r="L3" s="6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x14ac:dyDescent="0.25">
      <c r="A4" s="4"/>
      <c r="B4" s="18" t="s">
        <v>10</v>
      </c>
      <c r="C4" s="2"/>
      <c r="D4" s="2"/>
      <c r="E4" s="2"/>
      <c r="F4" s="2"/>
      <c r="G4" s="2"/>
      <c r="H4" s="2"/>
      <c r="I4" s="2"/>
      <c r="J4" s="2"/>
      <c r="K4" s="5"/>
      <c r="L4" s="6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15" x14ac:dyDescent="0.25">
      <c r="B5" s="17" t="s">
        <v>11</v>
      </c>
      <c r="C5" s="16">
        <v>46020</v>
      </c>
      <c r="D5" s="9">
        <f>DAY(C5)</f>
        <v>29</v>
      </c>
      <c r="E5" s="16">
        <v>46069</v>
      </c>
      <c r="F5" s="15">
        <f>DATEDIF(C5,E5,"d")+1</f>
        <v>50</v>
      </c>
      <c r="G5" s="11">
        <f>SUM(F5*J5)</f>
        <v>0</v>
      </c>
      <c r="H5" s="9">
        <f>SUM(F5-G5)</f>
        <v>50</v>
      </c>
      <c r="I5" s="8" t="s">
        <v>18</v>
      </c>
      <c r="J5" s="10">
        <v>0</v>
      </c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x14ac:dyDescent="0.25">
      <c r="B6" s="17"/>
      <c r="C6" s="16"/>
      <c r="D6" s="9"/>
      <c r="E6" s="16"/>
      <c r="F6" s="15"/>
      <c r="G6" s="11"/>
      <c r="H6" s="9"/>
      <c r="I6" s="8"/>
      <c r="J6" s="10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x14ac:dyDescent="0.25">
      <c r="B7" s="17"/>
      <c r="C7" s="16"/>
      <c r="D7" s="9"/>
      <c r="E7" s="16"/>
      <c r="F7" s="15"/>
      <c r="G7" s="11"/>
      <c r="H7" s="9"/>
      <c r="I7" s="8"/>
      <c r="J7" s="10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" x14ac:dyDescent="0.25">
      <c r="B8" s="17"/>
      <c r="C8" s="16"/>
      <c r="D8" s="9"/>
      <c r="E8" s="16"/>
      <c r="F8" s="15"/>
      <c r="G8" s="11"/>
      <c r="H8" s="9"/>
      <c r="I8" s="8"/>
      <c r="J8" s="10"/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" x14ac:dyDescent="0.25">
      <c r="B9" s="17"/>
      <c r="C9" s="16"/>
      <c r="D9" s="9"/>
      <c r="E9" s="16"/>
      <c r="F9" s="15"/>
      <c r="G9" s="11"/>
      <c r="H9" s="9"/>
      <c r="I9" s="8"/>
      <c r="J9" s="10"/>
      <c r="K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" x14ac:dyDescent="0.25">
      <c r="B10" s="17" t="s">
        <v>12</v>
      </c>
      <c r="C10" s="16">
        <v>46031</v>
      </c>
      <c r="D10" s="9">
        <f t="shared" ref="D10" si="0">DAY(C10)</f>
        <v>9</v>
      </c>
      <c r="E10" s="16">
        <v>46069</v>
      </c>
      <c r="F10" s="15">
        <f t="shared" ref="F10:F20" si="1">DATEDIF(C10,E10,"d")+1</f>
        <v>39</v>
      </c>
      <c r="G10" s="11">
        <f>SUM(F10*J10)</f>
        <v>0</v>
      </c>
      <c r="H10" s="9">
        <f>SUM(F10-G10)</f>
        <v>39</v>
      </c>
      <c r="I10" s="8" t="s">
        <v>18</v>
      </c>
      <c r="J10" s="12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" x14ac:dyDescent="0.25">
      <c r="B11" s="17"/>
      <c r="C11" s="16"/>
      <c r="D11" s="9"/>
      <c r="E11" s="16"/>
      <c r="F11" s="15"/>
      <c r="G11" s="11"/>
      <c r="H11" s="9"/>
      <c r="I11" s="8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x14ac:dyDescent="0.25">
      <c r="B12" s="17"/>
      <c r="C12" s="16"/>
      <c r="D12" s="9"/>
      <c r="E12" s="16"/>
      <c r="F12" s="15"/>
      <c r="G12" s="11"/>
      <c r="H12" s="9"/>
      <c r="I12" s="8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" x14ac:dyDescent="0.25">
      <c r="B13" s="17"/>
      <c r="C13" s="16"/>
      <c r="D13" s="9"/>
      <c r="E13" s="16"/>
      <c r="F13" s="15"/>
      <c r="G13" s="11"/>
      <c r="H13" s="9"/>
      <c r="I13" s="8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" x14ac:dyDescent="0.25">
      <c r="B14" s="17"/>
      <c r="C14" s="16"/>
      <c r="D14" s="9"/>
      <c r="E14" s="16"/>
      <c r="F14" s="15"/>
      <c r="G14" s="11"/>
      <c r="H14" s="9"/>
      <c r="I14" s="8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5">
      <c r="A15" s="4"/>
      <c r="B15" s="19" t="s">
        <v>14</v>
      </c>
      <c r="C15" s="13"/>
      <c r="D15" s="13"/>
      <c r="E15" s="13"/>
      <c r="F15" s="13"/>
      <c r="G15" s="13"/>
      <c r="H15" s="13"/>
      <c r="I15" s="13"/>
      <c r="J15" s="13"/>
    </row>
    <row r="16" spans="1:36" ht="15" x14ac:dyDescent="0.25">
      <c r="B16" s="17" t="s">
        <v>13</v>
      </c>
      <c r="C16" s="16">
        <v>46070</v>
      </c>
      <c r="D16" s="9">
        <f t="shared" ref="D16" si="2">DAY(C16)</f>
        <v>17</v>
      </c>
      <c r="E16" s="16">
        <v>46091</v>
      </c>
      <c r="F16" s="15">
        <f>DATEDIF(C16,E16,"d")+1</f>
        <v>22</v>
      </c>
      <c r="G16" s="11">
        <f>SUM(F16*J16)</f>
        <v>0</v>
      </c>
      <c r="H16" s="9">
        <f>SUM(F16-G16)</f>
        <v>22</v>
      </c>
      <c r="I16" s="8" t="s">
        <v>18</v>
      </c>
      <c r="J16" s="10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" x14ac:dyDescent="0.25">
      <c r="B17" s="17"/>
      <c r="C17" s="16"/>
      <c r="D17" s="9"/>
      <c r="E17" s="16"/>
      <c r="F17" s="15"/>
      <c r="G17" s="11"/>
      <c r="H17" s="9"/>
      <c r="I17" s="8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" x14ac:dyDescent="0.25">
      <c r="B18" s="17"/>
      <c r="C18" s="16"/>
      <c r="D18" s="9"/>
      <c r="E18" s="16"/>
      <c r="F18" s="15"/>
      <c r="G18" s="11"/>
      <c r="H18" s="9"/>
      <c r="I18" s="8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" x14ac:dyDescent="0.25">
      <c r="B19" s="17"/>
      <c r="C19" s="16"/>
      <c r="D19" s="9"/>
      <c r="E19" s="16"/>
      <c r="F19" s="15"/>
      <c r="G19" s="11"/>
      <c r="H19" s="9"/>
      <c r="I19" s="8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" x14ac:dyDescent="0.25">
      <c r="B20" s="17" t="s">
        <v>16</v>
      </c>
      <c r="C20" s="16">
        <v>46092</v>
      </c>
      <c r="D20" s="9">
        <f t="shared" ref="D20" si="3">DAY(C20)</f>
        <v>11</v>
      </c>
      <c r="E20" s="16">
        <v>46110</v>
      </c>
      <c r="F20" s="15">
        <f t="shared" si="1"/>
        <v>19</v>
      </c>
      <c r="G20" s="11">
        <f>SUM(F20*J20)</f>
        <v>0</v>
      </c>
      <c r="H20" s="9">
        <f>SUM(F20-G20)</f>
        <v>19</v>
      </c>
      <c r="I20" s="8" t="s">
        <v>18</v>
      </c>
      <c r="J20" s="14">
        <v>0</v>
      </c>
    </row>
    <row r="21" spans="1:36" ht="15" x14ac:dyDescent="0.25">
      <c r="B21" s="17"/>
      <c r="C21" s="16"/>
      <c r="D21" s="9"/>
      <c r="E21" s="16"/>
      <c r="F21" s="15"/>
      <c r="G21" s="11"/>
      <c r="H21" s="9"/>
      <c r="I21" s="8"/>
      <c r="J21" s="14"/>
    </row>
    <row r="22" spans="1:36" ht="15" x14ac:dyDescent="0.25">
      <c r="B22" s="17"/>
      <c r="C22" s="16"/>
      <c r="D22" s="9"/>
      <c r="E22" s="16"/>
      <c r="F22" s="15"/>
      <c r="G22" s="11"/>
      <c r="H22" s="9"/>
      <c r="I22" s="8"/>
      <c r="J22" s="14"/>
    </row>
    <row r="23" spans="1:36" ht="15" x14ac:dyDescent="0.25">
      <c r="B23" s="17"/>
      <c r="C23" s="16"/>
      <c r="D23" s="9"/>
      <c r="E23" s="16"/>
      <c r="F23" s="15"/>
      <c r="G23" s="11"/>
      <c r="H23" s="9"/>
      <c r="I23" s="8"/>
      <c r="J23" s="14"/>
    </row>
    <row r="24" spans="1:36" x14ac:dyDescent="0.25">
      <c r="A24" s="4"/>
      <c r="B24" s="19" t="s">
        <v>15</v>
      </c>
      <c r="C24" s="13"/>
      <c r="D24" s="13"/>
      <c r="E24" s="13"/>
      <c r="F24" s="13"/>
      <c r="G24" s="13"/>
      <c r="H24" s="13"/>
      <c r="I24" s="13"/>
      <c r="J24" s="13"/>
    </row>
    <row r="25" spans="1:36" ht="15" x14ac:dyDescent="0.25">
      <c r="B25" s="17" t="s">
        <v>17</v>
      </c>
      <c r="C25" s="16">
        <v>46111</v>
      </c>
      <c r="D25" s="9">
        <f t="shared" ref="D25" si="4">DAY(C25)</f>
        <v>30</v>
      </c>
      <c r="E25" s="16">
        <v>46118</v>
      </c>
      <c r="F25" s="15">
        <f>DATEDIF(C25,E25,"d")+1</f>
        <v>8</v>
      </c>
      <c r="G25" s="11">
        <f>SUM(F25*J25)</f>
        <v>0</v>
      </c>
      <c r="H25" s="9">
        <f>SUM(F25-G25)</f>
        <v>8</v>
      </c>
      <c r="I25" s="8" t="s">
        <v>18</v>
      </c>
      <c r="J25" s="10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" x14ac:dyDescent="0.25">
      <c r="B26" s="17"/>
      <c r="C26" s="16"/>
      <c r="D26" s="9"/>
      <c r="E26" s="16"/>
      <c r="F26" s="15"/>
      <c r="G26" s="11"/>
      <c r="H26" s="9"/>
      <c r="I26" s="8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" x14ac:dyDescent="0.25">
      <c r="B27" s="17"/>
      <c r="C27" s="16"/>
      <c r="D27" s="9"/>
      <c r="E27" s="16"/>
      <c r="F27" s="15"/>
      <c r="G27" s="11"/>
      <c r="H27" s="9"/>
      <c r="I27" s="8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" x14ac:dyDescent="0.25">
      <c r="B28" s="17"/>
      <c r="C28" s="16"/>
      <c r="D28" s="9"/>
      <c r="E28" s="16"/>
      <c r="F28" s="15"/>
      <c r="G28" s="11"/>
      <c r="H28" s="9"/>
      <c r="I28" s="8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3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3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36" ht="15.75" customHeight="1" x14ac:dyDescent="0.2">
      <c r="H32" s="20"/>
    </row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</sheetData>
  <mergeCells count="15">
    <mergeCell ref="C1:C2"/>
    <mergeCell ref="A1:A2"/>
    <mergeCell ref="B1:B2"/>
    <mergeCell ref="G1:G2"/>
    <mergeCell ref="H1:H2"/>
    <mergeCell ref="D1:D2"/>
    <mergeCell ref="E1:E2"/>
    <mergeCell ref="F1:F2"/>
    <mergeCell ref="I1:I2"/>
    <mergeCell ref="J1:J2"/>
    <mergeCell ref="AE1:AI1"/>
    <mergeCell ref="Z1:AD1"/>
    <mergeCell ref="U1:Y1"/>
    <mergeCell ref="K1:O1"/>
    <mergeCell ref="P1:T1"/>
  </mergeCells>
  <conditionalFormatting sqref="J5:J14 J20:J23">
    <cfRule type="colorScale" priority="9">
      <colorScale>
        <cfvo type="percent" val="0"/>
        <cfvo type="percent" val="100"/>
        <color rgb="FFFFFFFF"/>
        <color rgb="FF5CBCD6"/>
      </colorScale>
    </cfRule>
  </conditionalFormatting>
  <conditionalFormatting sqref="J16:J19">
    <cfRule type="colorScale" priority="3">
      <colorScale>
        <cfvo type="percent" val="0"/>
        <cfvo type="percent" val="100"/>
        <color rgb="FFFFFFFF"/>
        <color rgb="FF5CBCD6"/>
      </colorScale>
    </cfRule>
  </conditionalFormatting>
  <conditionalFormatting sqref="J25:J28">
    <cfRule type="colorScale" priority="2">
      <colorScale>
        <cfvo type="percent" val="0"/>
        <cfvo type="percent" val="100"/>
        <color rgb="FFFFFFFF"/>
        <color rgb="FF5CBCD6"/>
      </colorScale>
    </cfRule>
  </conditionalFormatting>
  <dataValidations count="1">
    <dataValidation type="custom" allowBlank="1" showDropDown="1" sqref="C16:C23 C5:C14 C25:C28 E5:E14 E16:E23 E25:E28" xr:uid="{00000000-0002-0000-0000-000000000000}">
      <formula1>OR(NOT(ISERROR(DATEVALUE(C5))), AND(ISNUMBER(C5), LEFT(CELL("format", C5))="D"))</formula1>
    </dataValidation>
  </dataValidations>
  <hyperlinks>
    <hyperlink ref="B5" r:id="rId1" xr:uid="{88B0CBE6-1B89-4C24-AEEE-EE9B893A1915}"/>
    <hyperlink ref="B3" r:id="rId2" xr:uid="{A34BCA21-587D-4D03-A71C-F6997587E474}"/>
    <hyperlink ref="B4" r:id="rId3" xr:uid="{F8569609-7679-4ACA-8BC9-B33447D916D6}"/>
    <hyperlink ref="B15" r:id="rId4" xr:uid="{A118108C-F663-4AB3-8E5E-E81D4DFF3B2F}"/>
    <hyperlink ref="B24" r:id="rId5" xr:uid="{F3A8AE8D-8B80-4D33-8B92-4A7C7212AC3B}"/>
    <hyperlink ref="B10" r:id="rId6" xr:uid="{33A15E24-4B34-4424-B11F-C010586AC11E}"/>
    <hyperlink ref="B16" r:id="rId7" xr:uid="{7D32C75F-8CD8-4F3F-A4E7-A31F47555BD2}"/>
    <hyperlink ref="B20" r:id="rId8" xr:uid="{65C8715E-6A07-4245-84AA-10CAFD36D711}"/>
    <hyperlink ref="B25" r:id="rId9" xr:uid="{B2F066E3-6CED-4681-8C2F-8DD1742A5D1D}"/>
  </hyperlinks>
  <pageMargins left="0.25" right="0.25" top="0.75" bottom="0.75" header="0.3" footer="0.3"/>
  <pageSetup paperSize="9" scale="61" orientation="landscape" r:id="rId10"/>
  <headerFooter scaleWithDoc="0" alignWithMargins="0"/>
  <drawing r:id="rId11"/>
  <legacyDrawingHF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Gantt Chart w % Complete</vt:lpstr>
      <vt:lpstr>'Gantt Chart w % Complete'!Área_de_Impressão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Morton</dc:creator>
  <cp:lastModifiedBy>Laércio Santos</cp:lastModifiedBy>
  <cp:lastPrinted>2026-02-08T09:18:32Z</cp:lastPrinted>
  <dcterms:created xsi:type="dcterms:W3CDTF">2018-06-20T16:10:08Z</dcterms:created>
  <dcterms:modified xsi:type="dcterms:W3CDTF">2026-02-14T23:14:21Z</dcterms:modified>
</cp:coreProperties>
</file>