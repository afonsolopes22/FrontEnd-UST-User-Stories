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ULHT\Engenharia Informática\3 Ano\TFC\entrega_1\gantt\"/>
    </mc:Choice>
  </mc:AlternateContent>
  <xr:revisionPtr revIDLastSave="0" documentId="13_ncr:1_{8C08CA61-4287-4473-9C9E-6A9708D76009}" xr6:coauthVersionLast="47" xr6:coauthVersionMax="47" xr10:uidLastSave="{00000000-0000-0000-0000-000000000000}"/>
  <bookViews>
    <workbookView xWindow="-23148" yWindow="-12360" windowWidth="23256" windowHeight="12456" xr2:uid="{00000000-000D-0000-FFFF-FFFF00000000}"/>
  </bookViews>
  <sheets>
    <sheet name="Gantt Chart w % Complete" sheetId="1" r:id="rId1"/>
  </sheets>
  <definedNames>
    <definedName name="_xlnm.Print_Area" localSheetId="0">'Gantt Chart w % Complete'!$A$1:$AD$26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G9" i="1" s="1"/>
  <c r="F10" i="1"/>
  <c r="G10" i="1" s="1"/>
  <c r="D9" i="1"/>
  <c r="D10" i="1"/>
  <c r="F6" i="1"/>
  <c r="F7" i="1"/>
  <c r="G7" i="1" s="1"/>
  <c r="H7" i="1" s="1"/>
  <c r="F8" i="1"/>
  <c r="G8" i="1" s="1"/>
  <c r="F11" i="1"/>
  <c r="G11" i="1" s="1"/>
  <c r="D6" i="1"/>
  <c r="D7" i="1"/>
  <c r="D8" i="1"/>
  <c r="D11" i="1"/>
  <c r="D12" i="1"/>
  <c r="F5" i="1"/>
  <c r="G5" i="1" s="1"/>
  <c r="F12" i="1"/>
  <c r="G12" i="1" s="1"/>
  <c r="F14" i="1"/>
  <c r="G14" i="1" s="1"/>
  <c r="F15" i="1"/>
  <c r="G15" i="1" s="1"/>
  <c r="F17" i="1"/>
  <c r="G17" i="1" s="1"/>
  <c r="H9" i="1" l="1"/>
  <c r="H10" i="1"/>
  <c r="G6" i="1"/>
  <c r="H6" i="1" s="1"/>
  <c r="H11" i="1"/>
  <c r="H8" i="1"/>
  <c r="D17" i="1"/>
  <c r="D14" i="1"/>
  <c r="H17" i="1" l="1"/>
  <c r="H14" i="1"/>
  <c r="H12" i="1" l="1"/>
  <c r="H15" i="1"/>
  <c r="H5" i="1"/>
  <c r="D15" i="1" l="1"/>
  <c r="D5" i="1"/>
</calcChain>
</file>

<file path=xl/sharedStrings.xml><?xml version="1.0" encoding="utf-8"?>
<sst xmlns="http://schemas.openxmlformats.org/spreadsheetml/2006/main" count="37" uniqueCount="27">
  <si>
    <t>TASK NAME</t>
  </si>
  <si>
    <t>START DATE</t>
  </si>
  <si>
    <t>END DATE</t>
  </si>
  <si>
    <t>TEAM MEMBER</t>
  </si>
  <si>
    <t>PERCENT COMPLETE</t>
  </si>
  <si>
    <t>DURATION* (WORK DAYS)</t>
  </si>
  <si>
    <t>DAY OF MONTH*</t>
  </si>
  <si>
    <t>DAYS COMPLETE*</t>
  </si>
  <si>
    <t>DAYS REMAINING*</t>
  </si>
  <si>
    <t>MVP - E1M1: Validador de código associado a User Story</t>
  </si>
  <si>
    <t>Feature - E1M1F1: Autenticação OAuth Github</t>
  </si>
  <si>
    <t>Feature - E1M1F2: Submissão de User Story para análise e feedback</t>
  </si>
  <si>
    <t>Feature - E1M1F3: Histórico de atividades</t>
  </si>
  <si>
    <t>Laércio &amp; Letizia</t>
  </si>
  <si>
    <t xml:space="preserve">   Estudo Github apps para OAuth 2.0</t>
  </si>
  <si>
    <t xml:space="preserve">   Decisão de uso de GitHub Apps ou OAuth apps</t>
  </si>
  <si>
    <t xml:space="preserve">   Implementação interface "Home" no Figma</t>
  </si>
  <si>
    <t xml:space="preserve">   Implementação interface "User Stories" no Figma</t>
  </si>
  <si>
    <t xml:space="preserve">   E1M1F1U1 - Implementação Github Oauth apps</t>
  </si>
  <si>
    <t xml:space="preserve">   E1M1F1U1 - Revisão de segurança (secrets, .env, exposição)</t>
  </si>
  <si>
    <t xml:space="preserve">   E1M1F1U1 - Deploy Login, acesso básico (nome, email, foto)</t>
  </si>
  <si>
    <t xml:space="preserve">   E1M1F1U2 - Acesso avançado (repositórios autorizados)</t>
  </si>
  <si>
    <t>E1M1F2U1 - Submissão US e resposta pop-up (mock)</t>
  </si>
  <si>
    <t>E1M1F2U2 - Exibição percentagens (compatibilidade, boas práticas) (mock)</t>
  </si>
  <si>
    <t>E1M1F3U1 - Histórico de atividades na homepage</t>
  </si>
  <si>
    <t>10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</si>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</sst>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0"/>
      <color rgb="FF000000"/>
      <name val="Arial"/>
    </font>
    <font>
      <sz val="10"/>
      <name val="Arial"/>
      <family val="2"/>
    </font>
    <font>
      <b/>
      <sz val="10"/>
      <color rgb="FFFFFFFF"/>
      <name val="Calibri"/>
      <family val="2"/>
    </font>
    <font>
      <b/>
      <sz val="11"/>
      <color rgb="FF666666"/>
      <name val="Calibri"/>
      <family val="2"/>
    </font>
    <font>
      <b/>
      <sz val="12"/>
      <color rgb="FF000000"/>
      <name val="Calibri"/>
      <family val="2"/>
    </font>
    <font>
      <sz val="10"/>
      <name val="Calibri"/>
      <family val="2"/>
    </font>
    <font>
      <sz val="11"/>
      <color rgb="FF434343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</font>
    <font>
      <u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ADEE"/>
        <bgColor rgb="FF00ADEE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7FD1CD"/>
        <bgColor rgb="FF7FD1CD"/>
      </patternFill>
    </fill>
    <fill>
      <patternFill patternType="solid">
        <fgColor rgb="FF57BB8A"/>
        <bgColor rgb="FF57BB8A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5" fillId="4" borderId="0" xfId="0" applyFont="1" applyFill="1"/>
    <xf numFmtId="0" fontId="3" fillId="0" borderId="0" xfId="0" applyFont="1" applyAlignment="1">
      <alignment horizontal="center"/>
    </xf>
    <xf numFmtId="0" fontId="4" fillId="4" borderId="0" xfId="0" applyFont="1" applyFill="1"/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0" fontId="6" fillId="0" borderId="0" xfId="0" applyFont="1" applyAlignment="1">
      <alignment wrapText="1"/>
    </xf>
    <xf numFmtId="0" fontId="6" fillId="7" borderId="0" xfId="0" applyFont="1" applyFill="1" applyAlignment="1">
      <alignment horizontal="center" wrapText="1"/>
    </xf>
    <xf numFmtId="9" fontId="6" fillId="5" borderId="0" xfId="0" applyNumberFormat="1" applyFont="1" applyFill="1" applyAlignment="1">
      <alignment horizontal="center" wrapText="1"/>
    </xf>
    <xf numFmtId="0" fontId="7" fillId="7" borderId="0" xfId="0" applyFont="1" applyFill="1" applyAlignment="1">
      <alignment horizontal="center"/>
    </xf>
    <xf numFmtId="9" fontId="6" fillId="6" borderId="0" xfId="0" applyNumberFormat="1" applyFont="1" applyFill="1" applyAlignment="1">
      <alignment horizontal="center" wrapText="1"/>
    </xf>
    <xf numFmtId="0" fontId="5" fillId="4" borderId="0" xfId="0" applyFont="1" applyFill="1" applyAlignment="1">
      <alignment horizontal="center"/>
    </xf>
    <xf numFmtId="1" fontId="6" fillId="7" borderId="0" xfId="0" applyNumberFormat="1" applyFont="1" applyFill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0" fontId="8" fillId="4" borderId="0" xfId="1" applyFill="1"/>
    <xf numFmtId="0" fontId="9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Fill="1"/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colors>
    <mruColors>
      <color rgb="FF33C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1696</xdr:colOff>
      <xdr:row>2</xdr:row>
      <xdr:rowOff>148688</xdr:rowOff>
    </xdr:from>
    <xdr:to>
      <xdr:col>31</xdr:col>
      <xdr:colOff>263602</xdr:colOff>
      <xdr:row>17</xdr:row>
      <xdr:rowOff>179106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6E3D9C-2BA2-3746-453F-325F22A52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1029" y="533536"/>
          <a:ext cx="6964062" cy="2938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rello.com/c/BYkxYEuU/17-e1m1-validador-de-c%C3%B3digo-associado-a-user-story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J37"/>
  <sheetViews>
    <sheetView showGridLines="0" tabSelected="1" zoomScale="70" zoomScaleNormal="85" workbookViewId="0">
      <selection activeCell="C22" sqref="C22"/>
    </sheetView>
  </sheetViews>
  <sheetFormatPr defaultColWidth="14.42578125" defaultRowHeight="15.75" customHeight="1" x14ac:dyDescent="0.2"/>
  <cols>
    <col min="1" max="1" width="5.42578125" customWidth="1"/>
    <col min="2" max="2" width="66.7109375" customWidth="1"/>
    <col min="3" max="8" width="12.28515625" customWidth="1"/>
    <col min="9" max="9" width="35.85546875" customWidth="1"/>
    <col min="10" max="10" width="10.7109375" customWidth="1"/>
    <col min="11" max="12" width="7.28515625" customWidth="1"/>
    <col min="13" max="14" width="3.7109375" customWidth="1"/>
    <col min="15" max="15" width="6.42578125" customWidth="1"/>
    <col min="16" max="34" width="4.42578125" customWidth="1"/>
    <col min="35" max="36" width="7.28515625" customWidth="1"/>
  </cols>
  <sheetData>
    <row r="1" spans="1:36" ht="15" x14ac:dyDescent="0.25">
      <c r="A1" s="18"/>
      <c r="B1" s="18" t="s">
        <v>0</v>
      </c>
      <c r="C1" s="18" t="s">
        <v>1</v>
      </c>
      <c r="D1" s="18" t="s">
        <v>6</v>
      </c>
      <c r="E1" s="18" t="s">
        <v>2</v>
      </c>
      <c r="F1" s="18" t="s">
        <v>5</v>
      </c>
      <c r="G1" s="18" t="s">
        <v>7</v>
      </c>
      <c r="H1" s="18" t="s">
        <v>8</v>
      </c>
      <c r="I1" s="18" t="s">
        <v>3</v>
      </c>
      <c r="J1" s="18" t="s">
        <v>4</v>
      </c>
      <c r="K1" s="21"/>
      <c r="L1" s="19"/>
      <c r="M1" s="19"/>
      <c r="N1" s="19"/>
      <c r="O1" s="19"/>
      <c r="P1" s="21"/>
      <c r="Q1" s="19"/>
      <c r="R1" s="19"/>
      <c r="S1" s="19"/>
      <c r="T1" s="19"/>
      <c r="U1" s="20"/>
      <c r="V1" s="19"/>
      <c r="W1" s="19"/>
      <c r="X1" s="19"/>
      <c r="Y1" s="19"/>
      <c r="Z1" s="21"/>
      <c r="AA1" s="19"/>
      <c r="AB1" s="19"/>
      <c r="AC1" s="19"/>
      <c r="AD1" s="19"/>
      <c r="AE1" s="20"/>
      <c r="AF1" s="19"/>
      <c r="AG1" s="19"/>
      <c r="AH1" s="19"/>
      <c r="AI1" s="19"/>
      <c r="AJ1" s="3"/>
    </row>
    <row r="2" spans="1:36" ht="15" x14ac:dyDescent="0.25">
      <c r="A2" s="19"/>
      <c r="B2" s="19"/>
      <c r="C2" s="19"/>
      <c r="D2" s="19"/>
      <c r="E2" s="19"/>
      <c r="F2" s="18"/>
      <c r="G2" s="18"/>
      <c r="H2" s="19"/>
      <c r="I2" s="19"/>
      <c r="J2" s="19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x14ac:dyDescent="0.2">
      <c r="A3" s="23" t="s">
        <v>26</v>
      </c>
      <c r="B3" s="16" t="s">
        <v>9</v>
      </c>
      <c r="C3" s="2"/>
      <c r="D3" s="2"/>
      <c r="E3" s="2"/>
      <c r="F3" s="2"/>
      <c r="G3" s="2"/>
      <c r="H3" s="2"/>
      <c r="I3" s="2"/>
      <c r="J3" s="2"/>
      <c r="K3" s="5"/>
      <c r="L3" s="6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x14ac:dyDescent="0.25">
      <c r="A4" s="4"/>
      <c r="B4" s="22" t="s">
        <v>10</v>
      </c>
      <c r="C4" s="2"/>
      <c r="D4" s="2"/>
      <c r="E4" s="2"/>
      <c r="F4" s="2"/>
      <c r="G4" s="2"/>
      <c r="H4" s="2"/>
      <c r="I4" s="2"/>
      <c r="J4" s="2"/>
      <c r="K4" s="5"/>
      <c r="L4" s="6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ht="15" x14ac:dyDescent="0.25">
      <c r="A5" s="24">
        <v>1</v>
      </c>
      <c r="B5" s="22" t="s">
        <v>14</v>
      </c>
      <c r="C5" s="15">
        <v>46020</v>
      </c>
      <c r="D5" s="9">
        <f>DAY(C5)</f>
        <v>29</v>
      </c>
      <c r="E5" s="15">
        <v>46026</v>
      </c>
      <c r="F5" s="14">
        <f>DATEDIF(C5,E5,"d")+1</f>
        <v>7</v>
      </c>
      <c r="G5" s="11">
        <f>SUM(F5*J5)</f>
        <v>7</v>
      </c>
      <c r="H5" s="9">
        <f>SUM(F5-G5)</f>
        <v>0</v>
      </c>
      <c r="I5" s="8" t="s">
        <v>13</v>
      </c>
      <c r="J5" s="10">
        <v>1</v>
      </c>
      <c r="K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5" x14ac:dyDescent="0.25">
      <c r="A6" s="24">
        <v>2</v>
      </c>
      <c r="B6" s="22" t="s">
        <v>15</v>
      </c>
      <c r="C6" s="15">
        <v>46027</v>
      </c>
      <c r="D6" s="9">
        <f t="shared" ref="D6:D12" si="0">DAY(C6)</f>
        <v>5</v>
      </c>
      <c r="E6" s="15">
        <v>46033</v>
      </c>
      <c r="F6" s="14">
        <f t="shared" ref="F6:F11" si="1">DATEDIF(C6,E6,"d")+1</f>
        <v>7</v>
      </c>
      <c r="G6" s="11">
        <f t="shared" ref="G6:G11" si="2">SUM(F6*J6)</f>
        <v>7</v>
      </c>
      <c r="H6" s="9">
        <f t="shared" ref="H6:H11" si="3">SUM(F6-G6)</f>
        <v>0</v>
      </c>
      <c r="I6" s="8" t="s">
        <v>13</v>
      </c>
      <c r="J6" s="10">
        <v>1</v>
      </c>
      <c r="K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5" x14ac:dyDescent="0.25">
      <c r="A7" s="24">
        <v>3</v>
      </c>
      <c r="B7" t="s">
        <v>16</v>
      </c>
      <c r="C7" s="15">
        <v>46034</v>
      </c>
      <c r="D7" s="9">
        <f t="shared" si="0"/>
        <v>12</v>
      </c>
      <c r="E7" s="15">
        <v>46040</v>
      </c>
      <c r="F7" s="14">
        <f t="shared" si="1"/>
        <v>7</v>
      </c>
      <c r="G7" s="11">
        <f t="shared" si="2"/>
        <v>7</v>
      </c>
      <c r="H7" s="9">
        <f t="shared" si="3"/>
        <v>0</v>
      </c>
      <c r="I7" s="8" t="s">
        <v>13</v>
      </c>
      <c r="J7" s="10">
        <v>1</v>
      </c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5" x14ac:dyDescent="0.25">
      <c r="A8" s="24">
        <v>4</v>
      </c>
      <c r="B8" t="s">
        <v>17</v>
      </c>
      <c r="C8" s="15">
        <v>46041</v>
      </c>
      <c r="D8" s="9">
        <f t="shared" si="0"/>
        <v>19</v>
      </c>
      <c r="E8" s="15">
        <v>46047</v>
      </c>
      <c r="F8" s="14">
        <f t="shared" si="1"/>
        <v>7</v>
      </c>
      <c r="G8" s="11">
        <f t="shared" si="2"/>
        <v>7</v>
      </c>
      <c r="H8" s="9">
        <f t="shared" si="3"/>
        <v>0</v>
      </c>
      <c r="I8" s="8" t="s">
        <v>13</v>
      </c>
      <c r="J8" s="10">
        <v>1</v>
      </c>
      <c r="K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5" x14ac:dyDescent="0.25">
      <c r="A9" s="24">
        <v>5</v>
      </c>
      <c r="B9" s="22" t="s">
        <v>18</v>
      </c>
      <c r="C9" s="15">
        <v>46048</v>
      </c>
      <c r="D9" s="9">
        <f t="shared" si="0"/>
        <v>26</v>
      </c>
      <c r="E9" s="15">
        <v>46054</v>
      </c>
      <c r="F9" s="14">
        <f t="shared" ref="F9:F10" si="4">DATEDIF(C9,E9,"d")+1</f>
        <v>7</v>
      </c>
      <c r="G9" s="11">
        <f t="shared" ref="G9:G10" si="5">SUM(F9*J9)</f>
        <v>7</v>
      </c>
      <c r="H9" s="9">
        <f t="shared" ref="H9:H10" si="6">SUM(F9-G9)</f>
        <v>0</v>
      </c>
      <c r="I9" s="8" t="s">
        <v>13</v>
      </c>
      <c r="J9" s="10">
        <v>1</v>
      </c>
      <c r="K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5" x14ac:dyDescent="0.25">
      <c r="A10" s="24">
        <v>6</v>
      </c>
      <c r="B10" s="22" t="s">
        <v>19</v>
      </c>
      <c r="C10" s="15">
        <v>46055</v>
      </c>
      <c r="D10" s="9">
        <f t="shared" si="0"/>
        <v>2</v>
      </c>
      <c r="E10" s="15">
        <v>46061</v>
      </c>
      <c r="F10" s="14">
        <f t="shared" si="4"/>
        <v>7</v>
      </c>
      <c r="G10" s="11">
        <f t="shared" si="5"/>
        <v>7</v>
      </c>
      <c r="H10" s="9">
        <f t="shared" si="6"/>
        <v>0</v>
      </c>
      <c r="I10" s="8" t="s">
        <v>13</v>
      </c>
      <c r="J10" s="10">
        <v>1</v>
      </c>
      <c r="K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5" x14ac:dyDescent="0.25">
      <c r="A11" s="24">
        <v>7</v>
      </c>
      <c r="B11" s="22" t="s">
        <v>20</v>
      </c>
      <c r="C11" s="15">
        <v>46062</v>
      </c>
      <c r="D11" s="9">
        <f t="shared" si="0"/>
        <v>9</v>
      </c>
      <c r="E11" s="15">
        <v>46068</v>
      </c>
      <c r="F11" s="14">
        <f t="shared" si="1"/>
        <v>7</v>
      </c>
      <c r="G11" s="11">
        <f t="shared" si="2"/>
        <v>7</v>
      </c>
      <c r="H11" s="9">
        <f t="shared" si="3"/>
        <v>0</v>
      </c>
      <c r="I11" s="8" t="s">
        <v>13</v>
      </c>
      <c r="J11" s="10">
        <v>1</v>
      </c>
      <c r="K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" x14ac:dyDescent="0.25">
      <c r="A12" s="24">
        <v>8</v>
      </c>
      <c r="B12" s="22" t="s">
        <v>21</v>
      </c>
      <c r="C12" s="15">
        <v>46069</v>
      </c>
      <c r="D12" s="9">
        <f t="shared" si="0"/>
        <v>16</v>
      </c>
      <c r="E12" s="15">
        <v>46075</v>
      </c>
      <c r="F12" s="14">
        <f t="shared" ref="F12:F15" si="7">DATEDIF(C12,E12,"d")+1</f>
        <v>7</v>
      </c>
      <c r="G12" s="11">
        <f>SUM(F12*J12)</f>
        <v>1.4000000000000001</v>
      </c>
      <c r="H12" s="9">
        <f>SUM(F12-G12)</f>
        <v>5.6</v>
      </c>
      <c r="I12" s="8" t="s">
        <v>13</v>
      </c>
      <c r="J12" s="12">
        <v>0.2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5">
      <c r="A13" s="25"/>
      <c r="B13" s="22" t="s">
        <v>11</v>
      </c>
      <c r="C13" s="13"/>
      <c r="D13" s="13"/>
      <c r="E13" s="13"/>
      <c r="F13" s="13"/>
      <c r="G13" s="13"/>
      <c r="H13" s="13"/>
      <c r="I13" s="13"/>
      <c r="J13" s="13"/>
    </row>
    <row r="14" spans="1:36" ht="15" x14ac:dyDescent="0.25">
      <c r="A14" s="24">
        <v>9</v>
      </c>
      <c r="B14" s="22" t="s">
        <v>22</v>
      </c>
      <c r="C14" s="15">
        <v>46076</v>
      </c>
      <c r="D14" s="9">
        <f t="shared" ref="D14" si="8">DAY(C14)</f>
        <v>23</v>
      </c>
      <c r="E14" s="15">
        <v>46082</v>
      </c>
      <c r="F14" s="14">
        <f>DATEDIF(C14,E14,"d")+1</f>
        <v>7</v>
      </c>
      <c r="G14" s="11">
        <f>SUM(F14*J14)</f>
        <v>0</v>
      </c>
      <c r="H14" s="9">
        <f>SUM(F14-G14)</f>
        <v>7</v>
      </c>
      <c r="I14" s="8" t="s">
        <v>13</v>
      </c>
      <c r="J14" s="10"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5" x14ac:dyDescent="0.25">
      <c r="A15" s="26" t="s">
        <v>25</v>
      </c>
      <c r="B15" s="22" t="s">
        <v>23</v>
      </c>
      <c r="C15" s="15">
        <v>46083</v>
      </c>
      <c r="D15" s="9">
        <f t="shared" ref="D15" si="9">DAY(C15)</f>
        <v>2</v>
      </c>
      <c r="E15" s="15">
        <v>46089</v>
      </c>
      <c r="F15" s="14">
        <f t="shared" si="7"/>
        <v>7</v>
      </c>
      <c r="G15" s="11">
        <f>SUM(F15*J15)</f>
        <v>0</v>
      </c>
      <c r="H15" s="9">
        <f>SUM(F15-G15)</f>
        <v>7</v>
      </c>
      <c r="I15" s="8" t="s">
        <v>13</v>
      </c>
      <c r="J15" s="10">
        <v>0</v>
      </c>
    </row>
    <row r="16" spans="1:36" x14ac:dyDescent="0.25">
      <c r="A16" s="25"/>
      <c r="B16" s="22" t="s">
        <v>12</v>
      </c>
      <c r="C16" s="13"/>
      <c r="D16" s="13"/>
      <c r="E16" s="13"/>
      <c r="F16" s="13"/>
      <c r="G16" s="13"/>
      <c r="H16" s="13"/>
      <c r="I16" s="13"/>
      <c r="J16" s="13"/>
    </row>
    <row r="17" spans="1:36" ht="15" x14ac:dyDescent="0.25">
      <c r="A17" s="24">
        <v>11</v>
      </c>
      <c r="B17" s="22" t="s">
        <v>24</v>
      </c>
      <c r="C17" s="15">
        <v>46090</v>
      </c>
      <c r="D17" s="9">
        <f t="shared" ref="D17" si="10">DAY(C17)</f>
        <v>9</v>
      </c>
      <c r="E17" s="15">
        <v>46096</v>
      </c>
      <c r="F17" s="14">
        <f>DATEDIF(C17,E17,"d")+1</f>
        <v>7</v>
      </c>
      <c r="G17" s="11">
        <f>SUM(F17*J17)</f>
        <v>0</v>
      </c>
      <c r="H17" s="9">
        <f>SUM(F17-G17)</f>
        <v>7</v>
      </c>
      <c r="I17" s="8" t="s">
        <v>13</v>
      </c>
      <c r="J17" s="10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36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36" ht="15.75" customHeight="1" x14ac:dyDescent="0.2">
      <c r="H20" s="17"/>
    </row>
    <row r="23" spans="1:36" ht="12.75" x14ac:dyDescent="0.2"/>
    <row r="24" spans="1:36" ht="12.75" x14ac:dyDescent="0.2"/>
    <row r="25" spans="1:36" ht="12.75" x14ac:dyDescent="0.2"/>
    <row r="26" spans="1:36" ht="12.75" x14ac:dyDescent="0.2"/>
    <row r="27" spans="1:36" ht="12.75" x14ac:dyDescent="0.2"/>
    <row r="28" spans="1:36" ht="12.75" x14ac:dyDescent="0.2"/>
    <row r="29" spans="1:36" ht="12.75" x14ac:dyDescent="0.2"/>
    <row r="30" spans="1:36" ht="12.75" x14ac:dyDescent="0.2"/>
    <row r="31" spans="1:36" ht="12.75" x14ac:dyDescent="0.2"/>
    <row r="32" spans="1:36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</sheetData>
  <mergeCells count="15">
    <mergeCell ref="C1:C2"/>
    <mergeCell ref="A1:A2"/>
    <mergeCell ref="B1:B2"/>
    <mergeCell ref="G1:G2"/>
    <mergeCell ref="H1:H2"/>
    <mergeCell ref="D1:D2"/>
    <mergeCell ref="E1:E2"/>
    <mergeCell ref="F1:F2"/>
    <mergeCell ref="I1:I2"/>
    <mergeCell ref="J1:J2"/>
    <mergeCell ref="AE1:AI1"/>
    <mergeCell ref="Z1:AD1"/>
    <mergeCell ref="U1:Y1"/>
    <mergeCell ref="K1:O1"/>
    <mergeCell ref="P1:T1"/>
  </mergeCells>
  <conditionalFormatting sqref="J14:J15">
    <cfRule type="colorScale" priority="11">
      <colorScale>
        <cfvo type="percent" val="0"/>
        <cfvo type="percent" val="100"/>
        <color rgb="FFFFFFFF"/>
        <color rgb="FF5CBCD6"/>
      </colorScale>
    </cfRule>
  </conditionalFormatting>
  <conditionalFormatting sqref="J5:J12">
    <cfRule type="colorScale" priority="12">
      <colorScale>
        <cfvo type="percent" val="0"/>
        <cfvo type="percent" val="100"/>
        <color rgb="FFFFFFFF"/>
        <color rgb="FF5CBCD6"/>
      </colorScale>
    </cfRule>
  </conditionalFormatting>
  <conditionalFormatting sqref="J17">
    <cfRule type="colorScale" priority="13">
      <colorScale>
        <cfvo type="percent" val="0"/>
        <cfvo type="percent" val="100"/>
        <color rgb="FFFFFFFF"/>
        <color rgb="FF5CBCD6"/>
      </colorScale>
    </cfRule>
  </conditionalFormatting>
  <dataValidations count="1">
    <dataValidation type="custom" allowBlank="1" showDropDown="1" sqref="C12 C17 E17 C5:C6 E5:E6 E12 E14:E15 C14:C15" xr:uid="{00000000-0002-0000-0000-000000000000}">
      <formula1>OR(NOT(ISERROR(DATEVALUE(C5))), AND(ISNUMBER(C5), LEFT(CELL("format", C5))="D"))</formula1>
    </dataValidation>
  </dataValidations>
  <hyperlinks>
    <hyperlink ref="B3" r:id="rId1" xr:uid="{A34BCA21-587D-4D03-A71C-F6997587E474}"/>
  </hyperlinks>
  <pageMargins left="0.25" right="0.25" top="0.75" bottom="0.75" header="0.3" footer="0.3"/>
  <pageSetup paperSize="9" scale="61" orientation="landscape" r:id="rId2"/>
  <headerFooter scaleWithDoc="0" alignWithMargins="0"/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Gantt Chart w % Complete</vt:lpstr>
      <vt:lpstr>'Gantt Chart w % Complete'!Área_de_Impressão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Morton</dc:creator>
  <cp:lastModifiedBy>Laércio Santos</cp:lastModifiedBy>
  <cp:lastPrinted>2026-02-08T09:18:32Z</cp:lastPrinted>
  <dcterms:created xsi:type="dcterms:W3CDTF">2018-06-20T16:10:08Z</dcterms:created>
  <dcterms:modified xsi:type="dcterms:W3CDTF">2026-02-18T01:38:23Z</dcterms:modified>
</cp:coreProperties>
</file>